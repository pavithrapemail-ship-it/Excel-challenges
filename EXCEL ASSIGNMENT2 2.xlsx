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c802298accb5f54/Documents/"/>
    </mc:Choice>
  </mc:AlternateContent>
  <xr:revisionPtr revIDLastSave="0" documentId="8_{8317CF49-2A7A-495B-BE47-690C3515B35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V3" i="2" l="1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</calcChain>
</file>

<file path=xl/sharedStrings.xml><?xml version="1.0" encoding="utf-8"?>
<sst xmlns="http://schemas.openxmlformats.org/spreadsheetml/2006/main" count="421" uniqueCount="146">
  <si>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</si>
  <si>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</si>
  <si>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</si>
  <si>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</si>
  <si>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</si>
  <si>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</si>
  <si>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</si>
  <si>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</si>
  <si>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</si>
  <si>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</si>
  <si>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</si>
  <si>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</si>
  <si>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</si>
  <si>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</si>
  <si>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</si>
  <si>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</si>
  <si>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</si>
  <si>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</si>
  <si>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</si>
  <si>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</si>
  <si>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</si>
  <si>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</si>
  <si>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</si>
  <si>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</si>
  <si>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</si>
  <si>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</si>
  <si>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</si>
  <si>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</si>
  <si>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</si>
  <si>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</si>
  <si>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</si>
  <si>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</si>
  <si>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</si>
  <si>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</si>
  <si>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</si>
  <si>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</si>
  <si>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</si>
  <si>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</si>
  <si>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</si>
  <si>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</si>
  <si>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</si>
  <si>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</si>
  <si>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</si>
  <si>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</si>
  <si>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</si>
  <si>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</si>
  <si>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</si>
  <si>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</si>
  <si>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</si>
  <si>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</si>
  <si>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</si>
  <si>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</si>
  <si>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</si>
  <si>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</si>
  <si>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</si>
  <si>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</si>
  <si>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</si>
  <si>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</si>
  <si>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</si>
  <si>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</si>
  <si>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</si>
  <si>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</si>
  <si>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</si>
  <si>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</si>
  <si>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</si>
  <si>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</si>
  <si>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</si>
  <si>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</si>
  <si>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</si>
  <si>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</si>
  <si>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</si>
  <si>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</si>
  <si>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</si>
  <si>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</si>
  <si>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</si>
  <si>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</si>
  <si>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</si>
  <si>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</si>
  <si>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</si>
  <si>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</si>
  <si>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</si>
  <si>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</si>
  <si>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</si>
  <si>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</si>
  <si>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</si>
  <si>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</si>
  <si>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</si>
  <si>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</si>
  <si>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</si>
  <si>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</si>
  <si>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</si>
  <si>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</si>
  <si>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</si>
  <si>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</si>
  <si>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</si>
  <si>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</si>
  <si>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</si>
  <si>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</si>
  <si>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</si>
  <si>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</si>
  <si>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</si>
  <si>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</si>
  <si>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</si>
  <si>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</si>
  <si>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</si>
  <si>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</si>
  <si>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</si>
  <si>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</si>
  <si>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</si>
  <si>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</si>
  <si>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</si>
  <si>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</si>
  <si>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</si>
  <si>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</si>
  <si>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</si>
  <si>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</si>
  <si>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ISBLANK PRICE</t>
  </si>
  <si>
    <t>PRICE IMPUTATION</t>
  </si>
  <si>
    <t>CATEGORY IMPUTATION</t>
  </si>
  <si>
    <t>INCONSISTENT DATA</t>
  </si>
  <si>
    <t xml:space="preserve">TYPOS </t>
  </si>
  <si>
    <t>Unknown</t>
  </si>
  <si>
    <t>REMOVING DUPLICATES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</si>
  <si>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</si>
  <si>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</si>
  <si>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</si>
  <si>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</si>
  <si>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</si>
  <si>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</si>
  <si>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</si>
  <si>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</si>
  <si>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</si>
  <si>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</si>
  <si>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</si>
  <si>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</si>
  <si>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</si>
  <si>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Product Brand</t>
  </si>
  <si>
    <t>SPLITTING</t>
  </si>
  <si>
    <t>MERGING</t>
  </si>
  <si>
    <t>Manufacturing Date</t>
  </si>
  <si>
    <t>DATE FORMAT</t>
  </si>
  <si>
    <t>CURRENCY FORMAT</t>
  </si>
  <si>
    <t>CONDITIONAL FORMATTING</t>
  </si>
  <si>
    <t>DATABAR</t>
  </si>
  <si>
    <t>COLOR SCALES</t>
  </si>
  <si>
    <t>HIGHLIGHTS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</si>
</sst>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dd/mm/yyyy;@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59999389629810485"/>
        <bgColor rgb="FF4DD0E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rgb="FF4DD0E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0F7FA"/>
      </patternFill>
    </fill>
    <fill>
      <patternFill patternType="solid">
        <fgColor theme="9" tint="0.39997558519241921"/>
        <bgColor rgb="FF4DD0E1"/>
      </patternFill>
    </fill>
    <fill>
      <patternFill patternType="solid">
        <fgColor theme="2"/>
        <bgColor rgb="FF4DD0E1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0" borderId="1" xfId="0" applyBorder="1"/>
    <xf numFmtId="0" fontId="10" fillId="4" borderId="0" xfId="0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8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0" fillId="7" borderId="0" xfId="0" applyFill="1"/>
    <xf numFmtId="0" fontId="5" fillId="7" borderId="0" xfId="0" applyFont="1" applyFill="1"/>
    <xf numFmtId="0" fontId="0" fillId="8" borderId="0" xfId="0" applyFill="1"/>
    <xf numFmtId="0" fontId="0" fillId="8" borderId="0" xfId="0" applyFill="1" applyAlignment="1">
      <alignment horizontal="center"/>
    </xf>
    <xf numFmtId="16" fontId="0" fillId="8" borderId="0" xfId="0" applyNumberFormat="1" applyFill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164" fontId="0" fillId="0" borderId="0" xfId="0" applyNumberFormat="1"/>
    <xf numFmtId="0" fontId="11" fillId="9" borderId="0" xfId="0" applyFont="1" applyFill="1"/>
    <xf numFmtId="0" fontId="11" fillId="9" borderId="0" xfId="0" applyFont="1" applyFill="1" applyAlignment="1">
      <alignment horizontal="center"/>
    </xf>
    <xf numFmtId="164" fontId="0" fillId="9" borderId="0" xfId="0" applyNumberFormat="1" applyFill="1" applyAlignment="1">
      <alignment horizontal="center"/>
    </xf>
    <xf numFmtId="165" fontId="12" fillId="9" borderId="0" xfId="0" applyNumberFormat="1" applyFont="1" applyFill="1" applyAlignment="1">
      <alignment horizontal="center"/>
    </xf>
    <xf numFmtId="165" fontId="12" fillId="10" borderId="0" xfId="0" applyNumberFormat="1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5" fillId="8" borderId="0" xfId="0" applyFont="1" applyFill="1"/>
    <xf numFmtId="0" fontId="0" fillId="0" borderId="0" xfId="0" applyAlignment="1">
      <alignment horizontal="center"/>
    </xf>
    <xf numFmtId="0" fontId="9" fillId="1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E28" sqref="E28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0"/>
  <sheetViews>
    <sheetView tabSelected="1" topLeftCell="Z1" workbookViewId="0">
      <selection activeCell="S9" sqref="S9"/>
    </sheetView>
  </sheetViews>
  <sheetFormatPr defaultColWidth="12.6640625" defaultRowHeight="15" customHeight="1" x14ac:dyDescent="0.25"/>
  <cols>
    <col min="1" max="6" width="12.6640625" customWidth="1"/>
    <col min="7" max="7" width="11.44140625" customWidth="1"/>
    <col min="8" max="8" width="16.6640625" customWidth="1"/>
    <col min="9" max="9" width="17.109375" customWidth="1"/>
    <col min="10" max="10" width="26.5546875" customWidth="1"/>
    <col min="11" max="11" width="29.109375" customWidth="1"/>
    <col min="12" max="12" width="30.77734375" customWidth="1"/>
    <col min="13" max="13" width="26.88671875" customWidth="1"/>
    <col min="14" max="14" width="24.44140625" customWidth="1"/>
    <col min="15" max="15" width="23.5546875" customWidth="1"/>
    <col min="20" max="20" width="17.33203125" customWidth="1"/>
    <col min="21" max="21" width="12.21875" customWidth="1"/>
    <col min="22" max="22" width="23.6640625" customWidth="1"/>
    <col min="24" max="24" width="21.21875" customWidth="1"/>
    <col min="25" max="25" width="18.21875" customWidth="1"/>
    <col min="27" max="27" width="29.44140625" customWidth="1"/>
    <col min="28" max="28" width="17.109375" customWidth="1"/>
    <col min="30" max="30" width="24.44140625" customWidth="1"/>
  </cols>
  <sheetData>
    <row r="1" spans="1:30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H1" s="10" t="s">
        <v>116</v>
      </c>
      <c r="I1" s="10" t="s">
        <v>117</v>
      </c>
      <c r="J1" s="10" t="s">
        <v>118</v>
      </c>
      <c r="K1" s="29" t="s">
        <v>119</v>
      </c>
      <c r="L1" s="29" t="s">
        <v>120</v>
      </c>
      <c r="M1" s="29"/>
      <c r="N1" s="15"/>
      <c r="O1" s="32" t="s">
        <v>122</v>
      </c>
      <c r="U1" s="21" t="s">
        <v>137</v>
      </c>
      <c r="V1" s="22" t="s">
        <v>138</v>
      </c>
      <c r="X1" s="24" t="s">
        <v>141</v>
      </c>
      <c r="Y1" s="25" t="s">
        <v>140</v>
      </c>
      <c r="AA1" s="22" t="s">
        <v>142</v>
      </c>
      <c r="AD1" s="21" t="s">
        <v>145</v>
      </c>
    </row>
    <row r="2" spans="1:30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  <c r="H2" s="11" t="b">
        <f>ISBLANK(D2)</f>
        <v>0</v>
      </c>
      <c r="I2" s="12">
        <v>1000</v>
      </c>
      <c r="J2" s="11" t="str">
        <f>IF(ISBLANK(F2),"Unknown",F2)</f>
        <v>Electronics</v>
      </c>
      <c r="K2" s="18" t="s">
        <v>61</v>
      </c>
      <c r="L2" s="18" t="s">
        <v>28</v>
      </c>
      <c r="M2" s="18" t="s">
        <v>19</v>
      </c>
      <c r="N2" s="16" t="s">
        <v>20</v>
      </c>
      <c r="O2" s="16" t="s">
        <v>21</v>
      </c>
      <c r="P2" s="16" t="s">
        <v>22</v>
      </c>
      <c r="Q2" s="16" t="s">
        <v>23</v>
      </c>
      <c r="R2" s="16" t="s">
        <v>24</v>
      </c>
      <c r="T2" s="18" t="s">
        <v>139</v>
      </c>
      <c r="U2" s="18" t="s">
        <v>135</v>
      </c>
      <c r="V2" s="19" t="s">
        <v>136</v>
      </c>
      <c r="X2" s="26">
        <v>1000</v>
      </c>
      <c r="Y2" s="27">
        <v>45685</v>
      </c>
      <c r="AA2" s="22" t="s">
        <v>143</v>
      </c>
      <c r="AB2" s="21" t="s">
        <v>144</v>
      </c>
    </row>
    <row r="3" spans="1:30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H3" s="11" t="b">
        <f t="shared" ref="H3:H35" si="0">ISBLANK(D3)</f>
        <v>0</v>
      </c>
      <c r="I3" s="13">
        <v>80</v>
      </c>
      <c r="J3" s="11" t="str">
        <f t="shared" ref="J3:J35" si="1">IF(ISBLANK(F3),"Unknown",F3)</f>
        <v>Fashion</v>
      </c>
      <c r="K3" s="30" t="s">
        <v>30</v>
      </c>
      <c r="L3" s="30" t="s">
        <v>32</v>
      </c>
      <c r="M3" s="30" t="s">
        <v>25</v>
      </c>
      <c r="N3" s="17" t="s">
        <v>26</v>
      </c>
      <c r="O3" s="17" t="s">
        <v>27</v>
      </c>
      <c r="P3" s="17">
        <v>1000</v>
      </c>
      <c r="Q3" s="16">
        <v>30</v>
      </c>
      <c r="R3" s="16" t="s">
        <v>28</v>
      </c>
      <c r="T3" s="20">
        <v>45685</v>
      </c>
      <c r="U3" s="19" t="s">
        <v>123</v>
      </c>
      <c r="V3" s="19" t="str">
        <f>CONCATENATE(B2," ",C2)</f>
        <v>laptop Dell</v>
      </c>
      <c r="X3" s="26">
        <v>80</v>
      </c>
      <c r="Y3" s="28">
        <v>45703</v>
      </c>
      <c r="AA3" s="31">
        <v>1000</v>
      </c>
      <c r="AB3">
        <v>1000</v>
      </c>
      <c r="AD3" t="s">
        <v>28</v>
      </c>
    </row>
    <row r="4" spans="1:30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H4" s="11" t="b">
        <f t="shared" si="0"/>
        <v>0</v>
      </c>
      <c r="I4" s="14">
        <v>130</v>
      </c>
      <c r="J4" s="11" t="str">
        <f t="shared" si="1"/>
        <v>Kitchen</v>
      </c>
      <c r="K4" s="30" t="s">
        <v>34</v>
      </c>
      <c r="L4" s="30" t="s">
        <v>36</v>
      </c>
      <c r="M4" s="30" t="s">
        <v>29</v>
      </c>
      <c r="N4" s="17" t="s">
        <v>30</v>
      </c>
      <c r="O4" s="17" t="s">
        <v>31</v>
      </c>
      <c r="P4" s="17">
        <v>80</v>
      </c>
      <c r="Q4" s="16">
        <v>15</v>
      </c>
      <c r="R4" s="16" t="s">
        <v>32</v>
      </c>
      <c r="T4" s="20">
        <v>45703</v>
      </c>
      <c r="U4" s="19" t="s">
        <v>123</v>
      </c>
      <c r="V4" s="19" t="str">
        <f t="shared" ref="V4:V33" si="2">CONCATENATE(B3," ",C3)</f>
        <v>Sneakers Nike</v>
      </c>
      <c r="X4" s="26">
        <v>130</v>
      </c>
      <c r="Y4" s="27">
        <v>45719</v>
      </c>
      <c r="AA4" s="31">
        <v>80</v>
      </c>
      <c r="AB4">
        <v>80</v>
      </c>
      <c r="AD4" t="s">
        <v>32</v>
      </c>
    </row>
    <row r="5" spans="1:30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G5" s="9"/>
      <c r="H5" s="11" t="b">
        <f t="shared" si="0"/>
        <v>0</v>
      </c>
      <c r="I5" s="14">
        <v>900</v>
      </c>
      <c r="J5" s="11" t="str">
        <f t="shared" si="1"/>
        <v>Electronics</v>
      </c>
      <c r="K5" s="30" t="s">
        <v>96</v>
      </c>
      <c r="L5" s="30" t="s">
        <v>28</v>
      </c>
      <c r="M5" s="30" t="s">
        <v>33</v>
      </c>
      <c r="N5" s="17" t="s">
        <v>34</v>
      </c>
      <c r="O5" s="17" t="s">
        <v>35</v>
      </c>
      <c r="P5" s="17">
        <v>130</v>
      </c>
      <c r="Q5" s="16">
        <v>40</v>
      </c>
      <c r="R5" s="16" t="s">
        <v>36</v>
      </c>
      <c r="T5" s="20">
        <v>45719</v>
      </c>
      <c r="U5" s="19" t="s">
        <v>123</v>
      </c>
      <c r="V5" s="19" t="str">
        <f t="shared" si="2"/>
        <v>Coffee Maker Keurig</v>
      </c>
      <c r="X5" s="26">
        <v>900</v>
      </c>
      <c r="Y5" s="28">
        <v>45758</v>
      </c>
      <c r="AA5" s="31">
        <v>130</v>
      </c>
      <c r="AB5">
        <v>130</v>
      </c>
      <c r="AD5" t="s">
        <v>36</v>
      </c>
    </row>
    <row r="6" spans="1:30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  <c r="H6" s="11" t="b">
        <f t="shared" si="0"/>
        <v>0</v>
      </c>
      <c r="I6" s="12">
        <v>70</v>
      </c>
      <c r="J6" s="11" t="str">
        <f t="shared" si="1"/>
        <v>Unknown</v>
      </c>
      <c r="K6" s="18" t="s">
        <v>41</v>
      </c>
      <c r="L6" s="18" t="s">
        <v>121</v>
      </c>
      <c r="M6" s="18" t="s">
        <v>37</v>
      </c>
      <c r="N6" s="16" t="s">
        <v>38</v>
      </c>
      <c r="O6" s="16" t="s">
        <v>39</v>
      </c>
      <c r="P6" s="16">
        <v>900</v>
      </c>
      <c r="Q6" s="16">
        <v>25</v>
      </c>
      <c r="R6" s="16" t="s">
        <v>28</v>
      </c>
      <c r="T6" s="20">
        <v>45758</v>
      </c>
      <c r="U6" s="19" t="s">
        <v>123</v>
      </c>
      <c r="V6" s="19" t="str">
        <f t="shared" si="2"/>
        <v>smartphone Samsung</v>
      </c>
      <c r="X6" s="26">
        <v>70</v>
      </c>
      <c r="Y6" s="27">
        <v>45799</v>
      </c>
      <c r="AA6" s="31">
        <v>900</v>
      </c>
      <c r="AB6">
        <v>900</v>
      </c>
      <c r="AD6" t="s">
        <v>28</v>
      </c>
    </row>
    <row r="7" spans="1:30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  <c r="H7" s="11" t="b">
        <f t="shared" si="0"/>
        <v>1</v>
      </c>
      <c r="I7" s="12">
        <v>594</v>
      </c>
      <c r="J7" s="11" t="str">
        <f t="shared" si="1"/>
        <v>Electroni</v>
      </c>
      <c r="K7" s="18" t="s">
        <v>44</v>
      </c>
      <c r="L7" s="18" t="s">
        <v>28</v>
      </c>
      <c r="M7" s="18" t="s">
        <v>40</v>
      </c>
      <c r="N7" s="16" t="s">
        <v>41</v>
      </c>
      <c r="O7" s="16" t="s">
        <v>42</v>
      </c>
      <c r="P7" s="16">
        <v>70</v>
      </c>
      <c r="Q7" s="16">
        <v>20</v>
      </c>
      <c r="R7" s="16"/>
      <c r="T7" s="20">
        <v>45799</v>
      </c>
      <c r="U7" s="19" t="s">
        <v>123</v>
      </c>
      <c r="V7" s="19" t="str">
        <f t="shared" si="2"/>
        <v>Backpack North Face</v>
      </c>
      <c r="X7" s="26">
        <v>594</v>
      </c>
      <c r="Y7" s="28">
        <v>45815</v>
      </c>
      <c r="AA7" s="31">
        <v>70</v>
      </c>
      <c r="AB7">
        <v>70</v>
      </c>
      <c r="AD7" t="s">
        <v>121</v>
      </c>
    </row>
    <row r="8" spans="1:30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  <c r="H8" s="11" t="b">
        <f t="shared" si="0"/>
        <v>0</v>
      </c>
      <c r="I8" s="12">
        <v>30</v>
      </c>
      <c r="J8" s="11" t="str">
        <f t="shared" si="1"/>
        <v>Fashion</v>
      </c>
      <c r="K8" s="18" t="s">
        <v>48</v>
      </c>
      <c r="L8" s="18" t="s">
        <v>32</v>
      </c>
      <c r="M8" s="18" t="s">
        <v>43</v>
      </c>
      <c r="N8" s="16" t="s">
        <v>44</v>
      </c>
      <c r="O8" s="16" t="s">
        <v>45</v>
      </c>
      <c r="P8" s="16"/>
      <c r="Q8" s="16">
        <v>45</v>
      </c>
      <c r="R8" s="16" t="s">
        <v>46</v>
      </c>
      <c r="T8" s="20">
        <v>45815</v>
      </c>
      <c r="U8" s="19" t="s">
        <v>124</v>
      </c>
      <c r="V8" s="19" t="str">
        <f t="shared" si="2"/>
        <v>Headphones Sony</v>
      </c>
      <c r="X8" s="26">
        <v>30</v>
      </c>
      <c r="Y8" s="27">
        <v>45857</v>
      </c>
      <c r="AA8" s="31">
        <v>594</v>
      </c>
      <c r="AB8">
        <v>594</v>
      </c>
      <c r="AD8" t="s">
        <v>46</v>
      </c>
    </row>
    <row r="9" spans="1:30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  <c r="H9" s="11" t="b">
        <f t="shared" si="0"/>
        <v>0</v>
      </c>
      <c r="I9" s="12">
        <v>90</v>
      </c>
      <c r="J9" s="11" t="str">
        <f t="shared" si="1"/>
        <v>Kitchen</v>
      </c>
      <c r="K9" s="18" t="s">
        <v>51</v>
      </c>
      <c r="L9" s="18" t="s">
        <v>36</v>
      </c>
      <c r="M9" s="18" t="s">
        <v>47</v>
      </c>
      <c r="N9" s="16" t="s">
        <v>48</v>
      </c>
      <c r="O9" s="16" t="s">
        <v>49</v>
      </c>
      <c r="P9" s="16">
        <v>30</v>
      </c>
      <c r="Q9" s="16">
        <v>5</v>
      </c>
      <c r="R9" s="16" t="s">
        <v>32</v>
      </c>
      <c r="T9" s="20">
        <v>45857</v>
      </c>
      <c r="U9" s="19" t="s">
        <v>124</v>
      </c>
      <c r="V9" s="19" t="str">
        <f t="shared" si="2"/>
        <v>T-shirt Adidas</v>
      </c>
      <c r="X9" s="26">
        <v>90</v>
      </c>
      <c r="Y9" s="28">
        <v>45892</v>
      </c>
      <c r="AA9" s="31">
        <v>30</v>
      </c>
      <c r="AB9">
        <v>30</v>
      </c>
      <c r="AD9" t="s">
        <v>32</v>
      </c>
    </row>
    <row r="10" spans="1:30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  <c r="H10" s="11" t="b">
        <f t="shared" si="0"/>
        <v>0</v>
      </c>
      <c r="I10" s="12">
        <v>500</v>
      </c>
      <c r="J10" s="11" t="str">
        <f t="shared" si="1"/>
        <v>Electronics</v>
      </c>
      <c r="K10" s="18" t="s">
        <v>54</v>
      </c>
      <c r="L10" s="18" t="s">
        <v>28</v>
      </c>
      <c r="M10" s="18" t="s">
        <v>50</v>
      </c>
      <c r="N10" s="16" t="s">
        <v>51</v>
      </c>
      <c r="O10" s="16" t="s">
        <v>52</v>
      </c>
      <c r="P10" s="16">
        <v>90</v>
      </c>
      <c r="Q10" s="16">
        <v>35</v>
      </c>
      <c r="R10" s="16" t="s">
        <v>36</v>
      </c>
      <c r="T10" s="20">
        <v>45892</v>
      </c>
      <c r="U10" s="19" t="s">
        <v>124</v>
      </c>
      <c r="V10" s="19" t="str">
        <f t="shared" si="2"/>
        <v>Blender Ninja</v>
      </c>
      <c r="X10" s="26">
        <v>500</v>
      </c>
      <c r="Y10" s="27">
        <v>45905</v>
      </c>
      <c r="AA10" s="31">
        <v>90</v>
      </c>
      <c r="AB10">
        <v>90</v>
      </c>
      <c r="AD10" t="s">
        <v>36</v>
      </c>
    </row>
    <row r="11" spans="1:30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  <c r="H11" s="11" t="b">
        <f t="shared" si="0"/>
        <v>0</v>
      </c>
      <c r="I11" s="12">
        <v>130</v>
      </c>
      <c r="J11" s="11" t="str">
        <f t="shared" si="1"/>
        <v>Outdoor</v>
      </c>
      <c r="K11" s="18" t="s">
        <v>57</v>
      </c>
      <c r="L11" s="18" t="s">
        <v>59</v>
      </c>
      <c r="M11" s="18" t="s">
        <v>53</v>
      </c>
      <c r="N11" s="16" t="s">
        <v>54</v>
      </c>
      <c r="O11" s="16" t="s">
        <v>55</v>
      </c>
      <c r="P11" s="16">
        <v>500</v>
      </c>
      <c r="Q11" s="16">
        <v>50</v>
      </c>
      <c r="R11" s="16" t="s">
        <v>28</v>
      </c>
      <c r="T11" s="20">
        <v>45905</v>
      </c>
      <c r="U11" s="19" t="s">
        <v>124</v>
      </c>
      <c r="V11" s="19" t="str">
        <f t="shared" si="2"/>
        <v>Tablet Apple</v>
      </c>
      <c r="X11" s="26">
        <v>130</v>
      </c>
      <c r="Y11" s="28">
        <v>45944</v>
      </c>
      <c r="AA11" s="31">
        <v>500</v>
      </c>
      <c r="AB11">
        <v>500</v>
      </c>
      <c r="AD11" t="s">
        <v>28</v>
      </c>
    </row>
    <row r="12" spans="1:30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  <c r="H12" s="11" t="b">
        <f t="shared" si="0"/>
        <v>0</v>
      </c>
      <c r="I12" s="12">
        <v>950</v>
      </c>
      <c r="J12" s="11" t="str">
        <f t="shared" si="1"/>
        <v>Electronics</v>
      </c>
      <c r="K12" s="18" t="s">
        <v>61</v>
      </c>
      <c r="L12" s="18" t="s">
        <v>28</v>
      </c>
      <c r="M12" s="18" t="s">
        <v>56</v>
      </c>
      <c r="N12" s="16" t="s">
        <v>57</v>
      </c>
      <c r="O12" s="16" t="s">
        <v>58</v>
      </c>
      <c r="P12" s="16">
        <v>130</v>
      </c>
      <c r="Q12" s="16">
        <v>10</v>
      </c>
      <c r="R12" s="16" t="s">
        <v>59</v>
      </c>
      <c r="T12" s="20">
        <v>45944</v>
      </c>
      <c r="U12" s="19" t="s">
        <v>124</v>
      </c>
      <c r="V12" s="19" t="str">
        <f t="shared" si="2"/>
        <v>Hiking Boots Timberland</v>
      </c>
      <c r="X12" s="26">
        <v>950</v>
      </c>
      <c r="Y12" s="27">
        <v>45825</v>
      </c>
      <c r="AA12" s="31">
        <v>130</v>
      </c>
      <c r="AB12">
        <v>130</v>
      </c>
      <c r="AD12" t="s">
        <v>59</v>
      </c>
    </row>
    <row r="13" spans="1:30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  <c r="H13" s="11" t="b">
        <f t="shared" si="0"/>
        <v>0</v>
      </c>
      <c r="I13" s="12">
        <v>90</v>
      </c>
      <c r="J13" s="11" t="str">
        <f t="shared" si="1"/>
        <v>Unknown</v>
      </c>
      <c r="K13" s="18" t="s">
        <v>30</v>
      </c>
      <c r="L13" s="18" t="s">
        <v>121</v>
      </c>
      <c r="M13" s="18" t="s">
        <v>60</v>
      </c>
      <c r="N13" s="16" t="s">
        <v>61</v>
      </c>
      <c r="O13" s="16" t="s">
        <v>62</v>
      </c>
      <c r="P13" s="16">
        <v>950</v>
      </c>
      <c r="Q13" s="16">
        <v>25</v>
      </c>
      <c r="R13" s="16" t="s">
        <v>28</v>
      </c>
      <c r="T13" s="20">
        <v>45825</v>
      </c>
      <c r="U13" s="19" t="s">
        <v>125</v>
      </c>
      <c r="V13" s="19" t="str">
        <f t="shared" si="2"/>
        <v>Laptop HP</v>
      </c>
      <c r="X13" s="26">
        <v>90</v>
      </c>
      <c r="Y13" s="28">
        <v>45986</v>
      </c>
      <c r="AA13" s="31">
        <v>950</v>
      </c>
      <c r="AB13">
        <v>950</v>
      </c>
      <c r="AD13" t="s">
        <v>28</v>
      </c>
    </row>
    <row r="14" spans="1:30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  <c r="H14" s="11" t="b">
        <f t="shared" si="0"/>
        <v>0</v>
      </c>
      <c r="I14" s="12">
        <v>120</v>
      </c>
      <c r="J14" s="11" t="str">
        <f t="shared" si="1"/>
        <v>Unknown</v>
      </c>
      <c r="K14" s="18" t="s">
        <v>34</v>
      </c>
      <c r="L14" s="18" t="s">
        <v>121</v>
      </c>
      <c r="M14" s="18" t="s">
        <v>63</v>
      </c>
      <c r="N14" s="16" t="s">
        <v>30</v>
      </c>
      <c r="O14" s="16" t="s">
        <v>49</v>
      </c>
      <c r="P14" s="16">
        <v>90</v>
      </c>
      <c r="Q14" s="16">
        <v>40</v>
      </c>
      <c r="R14" s="16"/>
      <c r="T14" s="20">
        <v>45986</v>
      </c>
      <c r="U14" s="19" t="s">
        <v>126</v>
      </c>
      <c r="V14" s="19" t="str">
        <f t="shared" si="2"/>
        <v>Sneakers Adidas</v>
      </c>
      <c r="X14" s="26">
        <v>120</v>
      </c>
      <c r="Y14" s="27">
        <v>45999</v>
      </c>
      <c r="AA14" s="31">
        <v>90</v>
      </c>
      <c r="AB14">
        <v>90</v>
      </c>
      <c r="AD14" t="s">
        <v>121</v>
      </c>
    </row>
    <row r="15" spans="1:30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  <c r="H15" s="11" t="b">
        <f t="shared" si="0"/>
        <v>0</v>
      </c>
      <c r="I15" s="12">
        <v>150</v>
      </c>
      <c r="J15" s="11" t="str">
        <f t="shared" si="1"/>
        <v>Electroni</v>
      </c>
      <c r="K15" s="18" t="s">
        <v>67</v>
      </c>
      <c r="L15" s="18" t="s">
        <v>28</v>
      </c>
      <c r="M15" s="18" t="s">
        <v>64</v>
      </c>
      <c r="N15" s="16" t="s">
        <v>34</v>
      </c>
      <c r="O15" s="16" t="s">
        <v>65</v>
      </c>
      <c r="P15" s="16">
        <v>120</v>
      </c>
      <c r="Q15" s="16">
        <v>35</v>
      </c>
      <c r="R15" s="16"/>
      <c r="T15" s="20">
        <v>45999</v>
      </c>
      <c r="U15" s="19" t="s">
        <v>127</v>
      </c>
      <c r="V15" s="19" t="str">
        <f t="shared" si="2"/>
        <v>Coffee Maker Nespresso</v>
      </c>
      <c r="X15" s="26">
        <v>150</v>
      </c>
      <c r="Y15" s="28">
        <v>45706</v>
      </c>
      <c r="AA15" s="31">
        <v>120</v>
      </c>
      <c r="AB15">
        <v>120</v>
      </c>
      <c r="AD15" t="s">
        <v>121</v>
      </c>
    </row>
    <row r="16" spans="1:30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  <c r="H16" s="11" t="b">
        <f t="shared" si="0"/>
        <v>0</v>
      </c>
      <c r="I16" s="12">
        <v>250</v>
      </c>
      <c r="J16" s="11" t="str">
        <f t="shared" si="1"/>
        <v>Electroni</v>
      </c>
      <c r="K16" s="18" t="s">
        <v>44</v>
      </c>
      <c r="L16" s="18" t="s">
        <v>28</v>
      </c>
      <c r="M16" s="18" t="s">
        <v>66</v>
      </c>
      <c r="N16" s="16" t="s">
        <v>67</v>
      </c>
      <c r="O16" s="16" t="s">
        <v>68</v>
      </c>
      <c r="P16" s="16">
        <v>150</v>
      </c>
      <c r="Q16" s="16">
        <v>15</v>
      </c>
      <c r="R16" s="16" t="s">
        <v>46</v>
      </c>
      <c r="T16" s="20">
        <v>45706</v>
      </c>
      <c r="U16" s="19" t="s">
        <v>128</v>
      </c>
      <c r="V16" s="19" t="str">
        <f t="shared" si="2"/>
        <v>Smartwatch Fitbit</v>
      </c>
      <c r="X16" s="26">
        <v>250</v>
      </c>
      <c r="Y16" s="27">
        <v>45763</v>
      </c>
      <c r="AA16" s="31">
        <v>150</v>
      </c>
      <c r="AB16">
        <v>150</v>
      </c>
      <c r="AD16" t="s">
        <v>46</v>
      </c>
    </row>
    <row r="17" spans="1:30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  <c r="H17" s="11" t="b">
        <f t="shared" si="0"/>
        <v>0</v>
      </c>
      <c r="I17" s="12">
        <v>50</v>
      </c>
      <c r="J17" s="11" t="str">
        <f t="shared" si="1"/>
        <v>Accessories</v>
      </c>
      <c r="K17" s="18" t="s">
        <v>73</v>
      </c>
      <c r="L17" s="18" t="s">
        <v>75</v>
      </c>
      <c r="M17" s="18" t="s">
        <v>69</v>
      </c>
      <c r="N17" s="16" t="s">
        <v>70</v>
      </c>
      <c r="O17" s="16" t="s">
        <v>71</v>
      </c>
      <c r="P17" s="16">
        <v>250</v>
      </c>
      <c r="Q17" s="16">
        <v>20</v>
      </c>
      <c r="R17" s="16" t="s">
        <v>46</v>
      </c>
      <c r="T17" s="20">
        <v>45763</v>
      </c>
      <c r="U17" s="19" t="s">
        <v>129</v>
      </c>
      <c r="V17" s="19" t="str">
        <f t="shared" si="2"/>
        <v>headphones Bose</v>
      </c>
      <c r="X17" s="26">
        <v>50</v>
      </c>
      <c r="Y17" s="28">
        <v>45890</v>
      </c>
      <c r="AA17" s="31">
        <v>250</v>
      </c>
      <c r="AB17">
        <v>250</v>
      </c>
      <c r="AD17" t="s">
        <v>46</v>
      </c>
    </row>
    <row r="18" spans="1:30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  <c r="H18" s="11" t="b">
        <f t="shared" si="0"/>
        <v>0</v>
      </c>
      <c r="I18" s="12">
        <v>160</v>
      </c>
      <c r="J18" s="11" t="str">
        <f t="shared" si="1"/>
        <v>Electroni</v>
      </c>
      <c r="K18" s="18" t="s">
        <v>67</v>
      </c>
      <c r="L18" s="18" t="s">
        <v>28</v>
      </c>
      <c r="M18" s="18" t="s">
        <v>72</v>
      </c>
      <c r="N18" s="16" t="s">
        <v>73</v>
      </c>
      <c r="O18" s="16" t="s">
        <v>74</v>
      </c>
      <c r="P18" s="16">
        <v>50</v>
      </c>
      <c r="Q18" s="16">
        <v>35</v>
      </c>
      <c r="R18" s="16" t="s">
        <v>75</v>
      </c>
      <c r="T18" s="20">
        <v>45890</v>
      </c>
      <c r="U18" s="19" t="s">
        <v>128</v>
      </c>
      <c r="V18" s="19" t="str">
        <f t="shared" si="2"/>
        <v>Laptop Bag Samsonite</v>
      </c>
      <c r="X18" s="26">
        <v>160</v>
      </c>
      <c r="Y18" s="27">
        <v>45889</v>
      </c>
      <c r="AA18" s="31">
        <v>50</v>
      </c>
      <c r="AB18">
        <v>50</v>
      </c>
      <c r="AD18" t="s">
        <v>75</v>
      </c>
    </row>
    <row r="19" spans="1:30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  <c r="H19" s="11" t="b">
        <f t="shared" si="0"/>
        <v>0</v>
      </c>
      <c r="I19" s="12">
        <v>980</v>
      </c>
      <c r="J19" s="11" t="str">
        <f t="shared" si="1"/>
        <v>Electronics</v>
      </c>
      <c r="K19" s="18" t="s">
        <v>61</v>
      </c>
      <c r="L19" s="18" t="s">
        <v>28</v>
      </c>
      <c r="M19" s="18" t="s">
        <v>76</v>
      </c>
      <c r="N19" s="16" t="s">
        <v>67</v>
      </c>
      <c r="O19" s="16" t="s">
        <v>77</v>
      </c>
      <c r="P19" s="16">
        <v>160</v>
      </c>
      <c r="Q19" s="16">
        <v>15</v>
      </c>
      <c r="R19" s="16" t="s">
        <v>46</v>
      </c>
      <c r="T19" s="20">
        <v>45889</v>
      </c>
      <c r="U19" s="19" t="s">
        <v>130</v>
      </c>
      <c r="V19" s="19" t="str">
        <f t="shared" si="2"/>
        <v>Smartwatch Huawei</v>
      </c>
      <c r="X19" s="26">
        <v>980</v>
      </c>
      <c r="Y19" s="28">
        <v>45684</v>
      </c>
      <c r="AA19" s="31">
        <v>160</v>
      </c>
      <c r="AB19">
        <v>160</v>
      </c>
      <c r="AD19" t="s">
        <v>46</v>
      </c>
    </row>
    <row r="20" spans="1:30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  <c r="H20" s="11" t="b">
        <f t="shared" si="0"/>
        <v>0</v>
      </c>
      <c r="I20" s="12">
        <v>150</v>
      </c>
      <c r="J20" s="11" t="str">
        <f t="shared" si="1"/>
        <v>Fashion</v>
      </c>
      <c r="K20" s="18" t="s">
        <v>81</v>
      </c>
      <c r="L20" s="18" t="s">
        <v>32</v>
      </c>
      <c r="M20" s="18" t="s">
        <v>78</v>
      </c>
      <c r="N20" s="16" t="s">
        <v>26</v>
      </c>
      <c r="O20" s="16" t="s">
        <v>79</v>
      </c>
      <c r="P20" s="16">
        <v>980</v>
      </c>
      <c r="Q20" s="16">
        <v>10</v>
      </c>
      <c r="R20" s="16" t="s">
        <v>28</v>
      </c>
      <c r="T20" s="20">
        <v>45684</v>
      </c>
      <c r="U20" s="19" t="s">
        <v>131</v>
      </c>
      <c r="V20" s="19" t="str">
        <f t="shared" si="2"/>
        <v>laptop Asus</v>
      </c>
      <c r="X20" s="26">
        <v>150</v>
      </c>
      <c r="Y20" s="27">
        <v>45717</v>
      </c>
      <c r="AA20" s="31">
        <v>980</v>
      </c>
      <c r="AB20">
        <v>980</v>
      </c>
      <c r="AD20" t="s">
        <v>28</v>
      </c>
    </row>
    <row r="21" spans="1:30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  <c r="H21" s="11" t="b">
        <f t="shared" si="0"/>
        <v>1</v>
      </c>
      <c r="I21" s="12">
        <v>130</v>
      </c>
      <c r="J21" s="11" t="str">
        <f t="shared" si="1"/>
        <v>Outdoor</v>
      </c>
      <c r="K21" s="18" t="s">
        <v>84</v>
      </c>
      <c r="L21" s="18" t="s">
        <v>59</v>
      </c>
      <c r="M21" s="18" t="s">
        <v>80</v>
      </c>
      <c r="N21" s="16" t="s">
        <v>81</v>
      </c>
      <c r="O21" s="16" t="s">
        <v>82</v>
      </c>
      <c r="P21" s="16">
        <v>150</v>
      </c>
      <c r="Q21" s="16">
        <v>15</v>
      </c>
      <c r="R21" s="16" t="s">
        <v>32</v>
      </c>
      <c r="T21" s="20">
        <v>45717</v>
      </c>
      <c r="U21" s="19" t="s">
        <v>124</v>
      </c>
      <c r="V21" s="19" t="str">
        <f t="shared" si="2"/>
        <v>Sunglasses Oakley</v>
      </c>
      <c r="X21" s="26">
        <v>130</v>
      </c>
      <c r="Y21" s="28">
        <v>45883</v>
      </c>
      <c r="AA21" s="31">
        <v>150</v>
      </c>
      <c r="AB21">
        <v>150</v>
      </c>
      <c r="AD21" t="s">
        <v>32</v>
      </c>
    </row>
    <row r="22" spans="1:30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  <c r="H22" s="11" t="b">
        <f t="shared" si="0"/>
        <v>0</v>
      </c>
      <c r="I22" s="12">
        <v>700</v>
      </c>
      <c r="J22" s="11" t="str">
        <f t="shared" si="1"/>
        <v>Electronics</v>
      </c>
      <c r="K22" s="18" t="s">
        <v>87</v>
      </c>
      <c r="L22" s="18" t="s">
        <v>28</v>
      </c>
      <c r="M22" s="18" t="s">
        <v>83</v>
      </c>
      <c r="N22" s="16" t="s">
        <v>84</v>
      </c>
      <c r="O22" s="16" t="s">
        <v>85</v>
      </c>
      <c r="P22" s="16"/>
      <c r="Q22" s="16">
        <v>10</v>
      </c>
      <c r="R22" s="16" t="s">
        <v>59</v>
      </c>
      <c r="T22" s="20">
        <v>45883</v>
      </c>
      <c r="U22" s="19" t="s">
        <v>123</v>
      </c>
      <c r="V22" s="19" t="str">
        <f t="shared" si="2"/>
        <v>Camping Tent Coleman</v>
      </c>
      <c r="X22" s="26">
        <v>700</v>
      </c>
      <c r="Y22" s="27">
        <v>45791</v>
      </c>
      <c r="AA22" s="31">
        <v>130</v>
      </c>
      <c r="AB22">
        <v>130</v>
      </c>
      <c r="AD22" t="s">
        <v>59</v>
      </c>
    </row>
    <row r="23" spans="1:30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  <c r="H23" s="11" t="b">
        <f t="shared" si="0"/>
        <v>0</v>
      </c>
      <c r="I23" s="12">
        <v>80</v>
      </c>
      <c r="J23" s="11" t="str">
        <f t="shared" si="1"/>
        <v>Kitchen</v>
      </c>
      <c r="K23" s="18" t="s">
        <v>90</v>
      </c>
      <c r="L23" s="18" t="s">
        <v>36</v>
      </c>
      <c r="M23" s="18" t="s">
        <v>86</v>
      </c>
      <c r="N23" s="16" t="s">
        <v>87</v>
      </c>
      <c r="O23" s="16" t="s">
        <v>88</v>
      </c>
      <c r="P23" s="16">
        <v>700</v>
      </c>
      <c r="Q23" s="16">
        <v>50</v>
      </c>
      <c r="R23" s="16" t="s">
        <v>28</v>
      </c>
      <c r="T23" s="20">
        <v>45791</v>
      </c>
      <c r="U23" s="19" t="s">
        <v>132</v>
      </c>
      <c r="V23" s="19" t="str">
        <f t="shared" si="2"/>
        <v>Camera Nikon</v>
      </c>
      <c r="X23" s="26">
        <v>80</v>
      </c>
      <c r="Y23" s="28">
        <v>45666</v>
      </c>
      <c r="AA23" s="31">
        <v>700</v>
      </c>
      <c r="AB23">
        <v>700</v>
      </c>
      <c r="AD23" t="s">
        <v>28</v>
      </c>
    </row>
    <row r="24" spans="1:30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  <c r="H24" s="11" t="b">
        <f t="shared" si="0"/>
        <v>0</v>
      </c>
      <c r="I24" s="12">
        <v>150</v>
      </c>
      <c r="J24" s="11" t="str">
        <f t="shared" si="1"/>
        <v>Unknown</v>
      </c>
      <c r="K24" s="18" t="s">
        <v>93</v>
      </c>
      <c r="L24" s="18" t="s">
        <v>121</v>
      </c>
      <c r="M24" s="18" t="s">
        <v>89</v>
      </c>
      <c r="N24" s="16" t="s">
        <v>90</v>
      </c>
      <c r="O24" s="16" t="s">
        <v>91</v>
      </c>
      <c r="P24" s="16">
        <v>80</v>
      </c>
      <c r="Q24" s="16">
        <v>20</v>
      </c>
      <c r="R24" s="16" t="s">
        <v>36</v>
      </c>
      <c r="T24" s="20">
        <v>45666</v>
      </c>
      <c r="U24" s="19" t="s">
        <v>128</v>
      </c>
      <c r="V24" s="19" t="str">
        <f t="shared" si="2"/>
        <v>Microwave Panasonic</v>
      </c>
      <c r="X24" s="26">
        <v>150</v>
      </c>
      <c r="Y24" s="27">
        <v>45857</v>
      </c>
      <c r="AA24" s="31">
        <v>80</v>
      </c>
      <c r="AB24">
        <v>80</v>
      </c>
      <c r="AD24" t="s">
        <v>36</v>
      </c>
    </row>
    <row r="25" spans="1:30" ht="15.75" customHeight="1" x14ac:dyDescent="0.25">
      <c r="A25" s="5" t="s">
        <v>95</v>
      </c>
      <c r="B25" s="5" t="s">
        <v>96</v>
      </c>
      <c r="C25" s="5" t="s">
        <v>97</v>
      </c>
      <c r="D25" s="5">
        <v>800</v>
      </c>
      <c r="E25" s="5">
        <v>45</v>
      </c>
      <c r="F25" s="5" t="s">
        <v>28</v>
      </c>
      <c r="H25" s="11" t="b">
        <f t="shared" si="0"/>
        <v>0</v>
      </c>
      <c r="I25" s="12">
        <v>50</v>
      </c>
      <c r="J25" s="11" t="str">
        <f t="shared" si="1"/>
        <v>Electronics</v>
      </c>
      <c r="K25" s="18" t="s">
        <v>73</v>
      </c>
      <c r="L25" s="18" t="s">
        <v>75</v>
      </c>
      <c r="M25" s="18" t="s">
        <v>92</v>
      </c>
      <c r="N25" s="16" t="s">
        <v>93</v>
      </c>
      <c r="O25" s="16" t="s">
        <v>94</v>
      </c>
      <c r="P25" s="16">
        <v>150</v>
      </c>
      <c r="Q25" s="16">
        <v>30</v>
      </c>
      <c r="R25" s="16"/>
      <c r="T25" s="20">
        <v>45857</v>
      </c>
      <c r="U25" s="19" t="s">
        <v>133</v>
      </c>
      <c r="V25" s="19" t="str">
        <f t="shared" si="2"/>
        <v>Fitness Tracker Xiaomi</v>
      </c>
      <c r="X25" s="26">
        <v>50</v>
      </c>
      <c r="Y25" s="28">
        <v>45890</v>
      </c>
      <c r="AA25" s="31">
        <v>150</v>
      </c>
      <c r="AB25">
        <v>150</v>
      </c>
      <c r="AD25" t="s">
        <v>121</v>
      </c>
    </row>
    <row r="26" spans="1:30" ht="15.75" customHeight="1" x14ac:dyDescent="0.25">
      <c r="A26" s="8" t="s">
        <v>98</v>
      </c>
      <c r="B26" s="8" t="s">
        <v>81</v>
      </c>
      <c r="C26" s="8" t="s">
        <v>99</v>
      </c>
      <c r="D26" s="8"/>
      <c r="E26" s="8">
        <v>25</v>
      </c>
      <c r="F26" s="8" t="s">
        <v>32</v>
      </c>
      <c r="H26" s="11" t="b">
        <f t="shared" si="0"/>
        <v>1</v>
      </c>
      <c r="I26" s="12">
        <v>800</v>
      </c>
      <c r="J26" s="11" t="str">
        <f t="shared" si="1"/>
        <v>Fashion</v>
      </c>
      <c r="K26" s="18" t="s">
        <v>96</v>
      </c>
      <c r="L26" s="18" t="s">
        <v>28</v>
      </c>
      <c r="M26" s="18" t="s">
        <v>95</v>
      </c>
      <c r="N26" s="16" t="s">
        <v>96</v>
      </c>
      <c r="O26" s="16" t="s">
        <v>97</v>
      </c>
      <c r="P26" s="16">
        <v>800</v>
      </c>
      <c r="Q26" s="16">
        <v>45</v>
      </c>
      <c r="R26" s="16" t="s">
        <v>28</v>
      </c>
      <c r="T26" s="20">
        <v>45929</v>
      </c>
      <c r="U26" s="19" t="s">
        <v>128</v>
      </c>
      <c r="V26" s="19" t="str">
        <f t="shared" si="2"/>
        <v>Smartphone Google</v>
      </c>
      <c r="X26" s="26">
        <v>800</v>
      </c>
      <c r="Y26" s="27">
        <v>45929</v>
      </c>
      <c r="AA26" s="31">
        <v>50</v>
      </c>
      <c r="AB26">
        <v>50</v>
      </c>
      <c r="AD26" t="s">
        <v>28</v>
      </c>
    </row>
    <row r="27" spans="1:30" ht="15.75" customHeight="1" x14ac:dyDescent="0.25">
      <c r="A27" s="5" t="s">
        <v>100</v>
      </c>
      <c r="B27" s="5" t="s">
        <v>51</v>
      </c>
      <c r="C27" s="5" t="s">
        <v>101</v>
      </c>
      <c r="D27" s="5">
        <v>400</v>
      </c>
      <c r="E27" s="5">
        <v>40</v>
      </c>
      <c r="F27" s="5" t="s">
        <v>36</v>
      </c>
      <c r="H27" s="11" t="b">
        <f t="shared" si="0"/>
        <v>0</v>
      </c>
      <c r="I27" s="12">
        <v>74</v>
      </c>
      <c r="J27" s="11" t="str">
        <f t="shared" si="1"/>
        <v>Kitchen</v>
      </c>
      <c r="K27" s="18" t="s">
        <v>81</v>
      </c>
      <c r="L27" s="18" t="s">
        <v>32</v>
      </c>
      <c r="M27" s="18" t="s">
        <v>98</v>
      </c>
      <c r="N27" s="16" t="s">
        <v>81</v>
      </c>
      <c r="O27" s="16" t="s">
        <v>99</v>
      </c>
      <c r="P27" s="16"/>
      <c r="Q27" s="16">
        <v>25</v>
      </c>
      <c r="R27" s="16" t="s">
        <v>32</v>
      </c>
      <c r="T27" s="20">
        <v>45811</v>
      </c>
      <c r="U27" s="19" t="s">
        <v>128</v>
      </c>
      <c r="V27" s="19" t="str">
        <f t="shared" si="2"/>
        <v>Sunglasses Ray-Ban</v>
      </c>
      <c r="X27" s="26">
        <v>74</v>
      </c>
      <c r="Y27" s="28">
        <v>45811</v>
      </c>
      <c r="AA27" s="31">
        <v>800</v>
      </c>
      <c r="AB27">
        <v>800</v>
      </c>
      <c r="AD27" t="s">
        <v>32</v>
      </c>
    </row>
    <row r="28" spans="1:30" ht="15.75" customHeight="1" x14ac:dyDescent="0.25">
      <c r="A28" s="5" t="s">
        <v>102</v>
      </c>
      <c r="B28" s="5" t="s">
        <v>103</v>
      </c>
      <c r="C28" s="5" t="s">
        <v>104</v>
      </c>
      <c r="D28" s="5">
        <v>60</v>
      </c>
      <c r="E28" s="5">
        <v>30</v>
      </c>
      <c r="F28" s="5" t="s">
        <v>32</v>
      </c>
      <c r="H28" s="11" t="b">
        <f t="shared" si="0"/>
        <v>0</v>
      </c>
      <c r="I28" s="12">
        <v>400</v>
      </c>
      <c r="J28" s="11" t="str">
        <f t="shared" si="1"/>
        <v>Fashion</v>
      </c>
      <c r="K28" s="18" t="s">
        <v>51</v>
      </c>
      <c r="L28" s="18" t="s">
        <v>36</v>
      </c>
      <c r="M28" s="18" t="s">
        <v>100</v>
      </c>
      <c r="N28" s="16" t="s">
        <v>51</v>
      </c>
      <c r="O28" s="16" t="s">
        <v>101</v>
      </c>
      <c r="P28" s="16">
        <v>400</v>
      </c>
      <c r="Q28" s="16">
        <v>40</v>
      </c>
      <c r="R28" s="16" t="s">
        <v>36</v>
      </c>
      <c r="T28" s="20">
        <v>45849</v>
      </c>
      <c r="U28" s="19" t="s">
        <v>128</v>
      </c>
      <c r="V28" s="19" t="str">
        <f t="shared" si="2"/>
        <v>Blender Vitamix</v>
      </c>
      <c r="X28" s="26">
        <v>400</v>
      </c>
      <c r="Y28" s="27">
        <v>45849</v>
      </c>
      <c r="AA28" s="31">
        <v>74</v>
      </c>
      <c r="AB28">
        <v>74</v>
      </c>
      <c r="AD28" t="s">
        <v>36</v>
      </c>
    </row>
    <row r="29" spans="1:30" ht="15.75" customHeight="1" x14ac:dyDescent="0.25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8" t="s">
        <v>36</v>
      </c>
      <c r="H29" s="11" t="b">
        <f t="shared" si="0"/>
        <v>0</v>
      </c>
      <c r="I29" s="12">
        <v>250</v>
      </c>
      <c r="J29" s="11" t="str">
        <f t="shared" si="1"/>
        <v>Kitchen</v>
      </c>
      <c r="K29" s="18" t="s">
        <v>44</v>
      </c>
      <c r="L29" s="18" t="s">
        <v>28</v>
      </c>
      <c r="M29" s="18" t="s">
        <v>102</v>
      </c>
      <c r="N29" s="16" t="s">
        <v>103</v>
      </c>
      <c r="O29" s="16" t="s">
        <v>104</v>
      </c>
      <c r="P29" s="16">
        <v>60</v>
      </c>
      <c r="Q29" s="16">
        <v>30</v>
      </c>
      <c r="R29" s="16" t="s">
        <v>32</v>
      </c>
      <c r="T29" s="20">
        <v>45723</v>
      </c>
      <c r="U29" s="19" t="s">
        <v>128</v>
      </c>
      <c r="V29" s="19" t="str">
        <f t="shared" si="2"/>
        <v>Dress Zara</v>
      </c>
      <c r="X29" s="26">
        <v>250</v>
      </c>
      <c r="Y29" s="28">
        <v>45763</v>
      </c>
      <c r="AA29" s="31">
        <v>400</v>
      </c>
      <c r="AB29">
        <v>400</v>
      </c>
      <c r="AD29" t="s">
        <v>32</v>
      </c>
    </row>
    <row r="30" spans="1:30" ht="15.75" customHeight="1" x14ac:dyDescent="0.25">
      <c r="A30" s="5" t="s">
        <v>108</v>
      </c>
      <c r="B30" s="5" t="s">
        <v>93</v>
      </c>
      <c r="C30" s="5" t="s">
        <v>109</v>
      </c>
      <c r="D30" s="5">
        <v>130</v>
      </c>
      <c r="E30" s="5">
        <v>5</v>
      </c>
      <c r="F30" s="5" t="s">
        <v>28</v>
      </c>
      <c r="H30" s="11" t="b">
        <f t="shared" si="0"/>
        <v>0</v>
      </c>
      <c r="I30" s="12">
        <v>60</v>
      </c>
      <c r="J30" s="11" t="str">
        <f t="shared" si="1"/>
        <v>Electronics</v>
      </c>
      <c r="K30" s="18" t="s">
        <v>103</v>
      </c>
      <c r="L30" s="18" t="s">
        <v>32</v>
      </c>
      <c r="M30" s="18" t="s">
        <v>105</v>
      </c>
      <c r="N30" s="16" t="s">
        <v>106</v>
      </c>
      <c r="O30" s="16" t="s">
        <v>107</v>
      </c>
      <c r="P30" s="16">
        <v>40</v>
      </c>
      <c r="Q30" s="16">
        <v>10</v>
      </c>
      <c r="R30" s="16" t="s">
        <v>36</v>
      </c>
      <c r="T30" s="20">
        <v>45760</v>
      </c>
      <c r="U30" s="19" t="s">
        <v>128</v>
      </c>
      <c r="V30" s="19" t="str">
        <f t="shared" si="2"/>
        <v>Toaster Hamilton</v>
      </c>
      <c r="X30" s="26">
        <v>60</v>
      </c>
      <c r="Y30" s="27">
        <v>45723</v>
      </c>
      <c r="AA30" s="31">
        <v>250</v>
      </c>
      <c r="AB30">
        <v>250</v>
      </c>
      <c r="AD30" t="s">
        <v>36</v>
      </c>
    </row>
    <row r="31" spans="1:30" ht="15.75" customHeight="1" x14ac:dyDescent="0.25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8" t="s">
        <v>32</v>
      </c>
      <c r="H31" s="11" t="b">
        <f t="shared" si="0"/>
        <v>0</v>
      </c>
      <c r="I31" s="12">
        <v>40</v>
      </c>
      <c r="J31" s="11" t="str">
        <f t="shared" si="1"/>
        <v>Fashion</v>
      </c>
      <c r="K31" s="18" t="s">
        <v>106</v>
      </c>
      <c r="L31" s="18" t="s">
        <v>36</v>
      </c>
      <c r="M31" s="18" t="s">
        <v>108</v>
      </c>
      <c r="N31" s="16" t="s">
        <v>93</v>
      </c>
      <c r="O31" s="16" t="s">
        <v>109</v>
      </c>
      <c r="P31" s="16">
        <v>130</v>
      </c>
      <c r="Q31" s="16">
        <v>5</v>
      </c>
      <c r="R31" s="16" t="s">
        <v>28</v>
      </c>
      <c r="T31" s="20">
        <v>45801</v>
      </c>
      <c r="U31" s="19" t="s">
        <v>128</v>
      </c>
      <c r="V31" s="19" t="str">
        <f t="shared" si="2"/>
        <v>Fitness Tracker Garmin</v>
      </c>
      <c r="X31" s="26">
        <v>40</v>
      </c>
      <c r="Y31" s="28">
        <v>45760</v>
      </c>
      <c r="AA31" s="31">
        <v>60</v>
      </c>
      <c r="AB31">
        <v>60</v>
      </c>
      <c r="AD31" t="s">
        <v>28</v>
      </c>
    </row>
    <row r="32" spans="1:30" ht="15.75" customHeight="1" x14ac:dyDescent="0.25">
      <c r="A32" s="8" t="s">
        <v>113</v>
      </c>
      <c r="B32" s="8" t="s">
        <v>114</v>
      </c>
      <c r="C32" s="8" t="s">
        <v>115</v>
      </c>
      <c r="D32" s="8">
        <v>100</v>
      </c>
      <c r="E32" s="8">
        <v>20</v>
      </c>
      <c r="F32" s="8" t="s">
        <v>75</v>
      </c>
      <c r="H32" s="11" t="b">
        <f t="shared" si="0"/>
        <v>0</v>
      </c>
      <c r="I32" s="12">
        <v>130</v>
      </c>
      <c r="J32" s="11" t="str">
        <f t="shared" si="1"/>
        <v>Accessories</v>
      </c>
      <c r="K32" s="18" t="s">
        <v>93</v>
      </c>
      <c r="L32" s="18" t="s">
        <v>28</v>
      </c>
      <c r="M32" s="18" t="s">
        <v>110</v>
      </c>
      <c r="N32" s="16" t="s">
        <v>111</v>
      </c>
      <c r="O32" s="16" t="s">
        <v>112</v>
      </c>
      <c r="P32" s="16">
        <v>50</v>
      </c>
      <c r="Q32" s="16">
        <v>50</v>
      </c>
      <c r="R32" s="16" t="s">
        <v>32</v>
      </c>
      <c r="T32" s="20">
        <v>45993</v>
      </c>
      <c r="U32" s="19" t="s">
        <v>128</v>
      </c>
      <c r="V32" s="19" t="str">
        <f t="shared" si="2"/>
        <v>Jeans Levi's</v>
      </c>
      <c r="X32" s="26">
        <v>130</v>
      </c>
      <c r="Y32" s="27">
        <v>45801</v>
      </c>
      <c r="AA32" s="31">
        <v>40</v>
      </c>
      <c r="AB32">
        <v>40</v>
      </c>
      <c r="AD32" t="s">
        <v>32</v>
      </c>
    </row>
    <row r="33" spans="8:30" ht="15.75" customHeight="1" x14ac:dyDescent="0.25">
      <c r="H33" s="11" t="b">
        <f t="shared" si="0"/>
        <v>1</v>
      </c>
      <c r="I33" s="12">
        <v>50</v>
      </c>
      <c r="J33" s="11" t="str">
        <f t="shared" si="1"/>
        <v>Unknown</v>
      </c>
      <c r="K33" s="18" t="s">
        <v>111</v>
      </c>
      <c r="L33" s="18" t="s">
        <v>32</v>
      </c>
      <c r="M33" s="18" t="s">
        <v>113</v>
      </c>
      <c r="N33" s="16" t="s">
        <v>114</v>
      </c>
      <c r="O33" s="16" t="s">
        <v>115</v>
      </c>
      <c r="P33" s="16">
        <v>100</v>
      </c>
      <c r="Q33" s="16">
        <v>20</v>
      </c>
      <c r="R33" s="16" t="s">
        <v>75</v>
      </c>
      <c r="T33" s="20">
        <v>45847</v>
      </c>
      <c r="U33" s="19" t="s">
        <v>134</v>
      </c>
      <c r="V33" s="19" t="str">
        <f t="shared" si="2"/>
        <v>Watch Casio</v>
      </c>
      <c r="X33" s="26">
        <v>50</v>
      </c>
      <c r="Y33" s="28">
        <v>45993</v>
      </c>
      <c r="AA33" s="31">
        <v>130</v>
      </c>
      <c r="AB33">
        <v>130</v>
      </c>
      <c r="AD33" t="s">
        <v>75</v>
      </c>
    </row>
    <row r="34" spans="8:30" ht="15.75" customHeight="1" x14ac:dyDescent="0.25">
      <c r="H34" s="11" t="b">
        <f t="shared" si="0"/>
        <v>1</v>
      </c>
      <c r="I34" s="12">
        <v>950</v>
      </c>
      <c r="J34" s="11" t="str">
        <f t="shared" si="1"/>
        <v>Unknown</v>
      </c>
      <c r="K34" s="18" t="s">
        <v>61</v>
      </c>
      <c r="L34" s="18" t="s">
        <v>28</v>
      </c>
      <c r="M34" s="18"/>
      <c r="X34" s="26">
        <v>950</v>
      </c>
      <c r="Y34" s="27">
        <v>45825</v>
      </c>
      <c r="AA34" s="31">
        <v>50</v>
      </c>
      <c r="AB34">
        <v>50</v>
      </c>
      <c r="AD34" t="s">
        <v>121</v>
      </c>
    </row>
    <row r="35" spans="8:30" ht="15.75" customHeight="1" x14ac:dyDescent="0.25">
      <c r="H35" s="11" t="b">
        <f t="shared" si="0"/>
        <v>1</v>
      </c>
      <c r="I35" s="12">
        <v>100</v>
      </c>
      <c r="J35" s="11" t="str">
        <f t="shared" si="1"/>
        <v>Unknown</v>
      </c>
      <c r="K35" s="18" t="s">
        <v>114</v>
      </c>
      <c r="L35" s="18" t="s">
        <v>75</v>
      </c>
      <c r="M35" s="18"/>
      <c r="X35" s="26">
        <v>100</v>
      </c>
      <c r="Y35" s="28">
        <v>45847</v>
      </c>
      <c r="AA35" s="31">
        <v>950</v>
      </c>
      <c r="AB35">
        <v>950</v>
      </c>
      <c r="AD35" t="s">
        <v>121</v>
      </c>
    </row>
    <row r="36" spans="8:30" ht="15.75" customHeight="1" x14ac:dyDescent="0.25">
      <c r="X36" s="23"/>
      <c r="AA36" s="31">
        <v>100</v>
      </c>
      <c r="AB36">
        <v>100</v>
      </c>
      <c r="AD36" t="s">
        <v>121</v>
      </c>
    </row>
    <row r="37" spans="8:30" ht="15.75" customHeight="1" x14ac:dyDescent="0.25"/>
    <row r="38" spans="8:30" ht="15.75" customHeight="1" x14ac:dyDescent="0.25"/>
    <row r="39" spans="8:30" ht="15.75" customHeight="1" x14ac:dyDescent="0.25"/>
    <row r="40" spans="8:30" ht="15.75" customHeight="1" x14ac:dyDescent="0.25"/>
    <row r="41" spans="8:30" ht="15.75" customHeight="1" x14ac:dyDescent="0.25"/>
    <row r="42" spans="8:30" ht="15.75" customHeight="1" x14ac:dyDescent="0.25"/>
    <row r="43" spans="8:30" ht="15.75" customHeight="1" x14ac:dyDescent="0.25"/>
    <row r="44" spans="8:30" ht="15.75" customHeight="1" x14ac:dyDescent="0.25"/>
    <row r="45" spans="8:30" ht="15.75" customHeight="1" x14ac:dyDescent="0.25"/>
    <row r="46" spans="8:30" ht="15.75" customHeight="1" x14ac:dyDescent="0.25"/>
    <row r="47" spans="8:30" ht="15.75" customHeight="1" x14ac:dyDescent="0.25"/>
    <row r="48" spans="8:3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AA3:AA3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{AC533425-35D5-4AED-A5F1-01F5EB41418A}</x14:id>
        </ext>
      </extLst>
    </cfRule>
  </conditionalFormatting>
  <conditionalFormatting sqref="AB3:AB3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3:AD36">
    <cfRule type="containsText" dxfId="1" priority="1" operator="containsText" text="Electronics">
      <formula>NOT(ISERROR(SEARCH("Electronics",AD3)))</formula>
    </cfRule>
    <cfRule type="containsText" dxfId="0" priority="2" operator="containsText" text="Electronics">
      <formula>NOT(ISERROR(SEARCH("Electronics",AD3)))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533425-35D5-4AED-A5F1-01F5EB4141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pavith rap</cp:lastModifiedBy>
  <dcterms:created xsi:type="dcterms:W3CDTF">2025-12-13T11:23:23Z</dcterms:created>
  <dcterms:modified xsi:type="dcterms:W3CDTF">2025-12-15T08:21:06Z</dcterms:modified>
</cp:coreProperties>
</file>