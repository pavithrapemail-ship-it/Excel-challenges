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c802298accb5f54/Documents/"/>
    </mc:Choice>
  </mc:AlternateContent>
  <xr:revisionPtr revIDLastSave="146" documentId="8_{07F05F65-1F10-4BF4-BC38-8BE300F6107D}" xr6:coauthVersionLast="47" xr6:coauthVersionMax="47" xr10:uidLastSave="{740F71BE-8FE4-4CAF-837A-655941D7D349}"/>
  <bookViews>
    <workbookView xWindow="-108" yWindow="-108" windowWidth="23256" windowHeight="13896" firstSheet="1" activeTab="1" xr2:uid="{00000000-000D-0000-FFFF-FFFF00000000}"/>
  </bookViews>
  <sheets>
    <sheet name="Instructions" sheetId="1" r:id="rId1"/>
    <sheet name="Data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N6" i="2" l="1"/>
  <c r="N7" i="2"/>
  <c r="N8" i="2"/>
  <c r="N9" i="2"/>
  <c r="N11" i="2"/>
  <c r="N12" i="2"/>
  <c r="N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</calcChain>
</file>

<file path=xl/sharedStrings.xml><?xml version="1.0" encoding="utf-8"?>
<sst xmlns="http://schemas.openxmlformats.org/spreadsheetml/2006/main" count="178" uniqueCount="129">
  <si>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</si>
  <si>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</si>
  <si>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</si>
  <si>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</si>
  <si>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</si>
  <si>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</si>
  <si>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</si>
  <si>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</si>
  <si>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</si>
  <si>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</si>
  <si>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</si>
  <si>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</si>
  <si>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</si>
  <si>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</si>
  <si>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</si>
  <si>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</si>
  <si>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</si>
  <si>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</si>
  <si>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</si>
  <si>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</si>
  <si>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</si>
  <si>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</si>
  <si>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</si>
  <si>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Price Range</t>
  </si>
  <si>
    <t xml:space="preserve">     Day</t>
  </si>
  <si>
    <t>Country Code</t>
  </si>
  <si>
    <t xml:space="preserve">    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</si>
  <si>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</si>
  <si>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</si>
  <si>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</si>
  <si>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</si>
  <si>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</si>
  <si>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</si>
  <si>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</si>
  <si>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</si>
  <si>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</si>
  <si>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</si>
  <si>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</si>
  <si>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</si>
  <si>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</si>
  <si>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</si>
  <si>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</si>
  <si>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 xml:space="preserve">  TOTAL PRICE</t>
  </si>
  <si>
    <t xml:space="preserve">     SUM</t>
  </si>
  <si>
    <t>22-MAY-US</t>
  </si>
  <si>
    <t>Backpack</t>
  </si>
  <si>
    <t>North Face</t>
  </si>
  <si>
    <t>Outdoor</t>
  </si>
  <si>
    <t xml:space="preserve">   COUNT</t>
  </si>
  <si>
    <t>07-JUN-UK</t>
  </si>
  <si>
    <t>Headphones</t>
  </si>
  <si>
    <t>Sony</t>
  </si>
  <si>
    <t>AVERAGE</t>
  </si>
  <si>
    <t>19-JUL-UK</t>
  </si>
  <si>
    <t>T-shirt</t>
  </si>
  <si>
    <t>Adidas</t>
  </si>
  <si>
    <t xml:space="preserve">    MIN</t>
  </si>
  <si>
    <t>23-AUG-UK</t>
  </si>
  <si>
    <t>Blender</t>
  </si>
  <si>
    <t>Ninja</t>
  </si>
  <si>
    <t xml:space="preserve">    MAX</t>
  </si>
  <si>
    <t>05-SEP-UK</t>
  </si>
  <si>
    <t>Tablet</t>
  </si>
  <si>
    <t>Apple</t>
  </si>
  <si>
    <t>14-OCT-UK</t>
  </si>
  <si>
    <t>Hiking Boots</t>
  </si>
  <si>
    <t>Timberland</t>
  </si>
  <si>
    <t>Total Price of Electronics</t>
  </si>
  <si>
    <t xml:space="preserve">    SUMIF   </t>
  </si>
  <si>
    <t>17-JUN-IN</t>
  </si>
  <si>
    <t>HP</t>
  </si>
  <si>
    <t>Count of Products&lt;100</t>
  </si>
  <si>
    <t xml:space="preserve">  COUNTIF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</si>
  <si>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</si>
  <si>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</si>
  <si>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</si>
  <si>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</si>
  <si>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</si>
  <si>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</si>
  <si>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</si>
  <si>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</si>
  <si>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</si>
  <si>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</si>
  <si>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</si>
  <si>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</si>
  <si>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</si>
  <si>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</si>
  <si>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 xml:space="preserve"> 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</si>
  <si>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</si>
  <si>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</si>
  <si>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</si>
  <si>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</si>
  <si>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</si>
  <si>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</si>
  <si>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</si>
  <si>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</si>
  <si>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</si>
  <si>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</si>
  <si>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</si>
  <si>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</si>
  <si>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</si>
  <si>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</si>
  <si>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</si>
  <si>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</si>
  <si>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</si>
  <si>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</si>
  <si>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</si>
  <si>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</si>
  <si>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</si>
  <si>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</si>
  <si>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</si>
  <si>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</si>
  <si>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</si>
  <si>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</si>
  <si>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</si>
  <si>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</si>
  <si>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</si>
  <si>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</si>
  <si>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</si>
  <si>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</si>
  <si>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</si>
  <si>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</si>
  <si>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</si>
  <si>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</si>
  <si>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</si>
  <si>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  AVERAGE PRICE</t>
  </si>
  <si>
    <t xml:space="preserve">   MINIMUM PRICE</t>
  </si>
  <si>
    <t xml:space="preserve">   MAXIMUM PRICE</t>
  </si>
  <si>
    <t xml:space="preserve">   PRODUCT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</si>
</sst>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B0F0"/>
      <name val="Arial"/>
    </font>
    <font>
      <b/>
      <sz val="10"/>
      <color rgb="FF00B0F0"/>
      <name val="Arial"/>
      <scheme val="minor"/>
    </font>
    <font>
      <b/>
      <sz val="10"/>
      <color theme="7"/>
      <name val="Arial"/>
      <scheme val="minor"/>
    </font>
    <font>
      <b/>
      <sz val="10"/>
      <color theme="6"/>
      <name val="Arial"/>
      <scheme val="minor"/>
    </font>
    <font>
      <b/>
      <sz val="10"/>
      <color theme="8" tint="-0.499984740745262"/>
      <name val="Arial"/>
      <scheme val="minor"/>
    </font>
    <font>
      <b/>
      <sz val="10"/>
      <color rgb="FFFF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customschemas.google.com/relationships/workbookmetadata" Target="metadata" /><Relationship Id="rId10" Type="http://schemas.openxmlformats.org/officeDocument/2006/relationships/calcChain" Target="calcChain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2" workbookViewId="0">
      <selection activeCell="A28" sqref="A28"/>
    </sheetView>
  </sheetViews>
  <sheetFormatPr defaultColWidth="12.67578125" defaultRowHeight="15" customHeight="1" x14ac:dyDescent="0.15"/>
  <cols>
    <col min="1" max="1" width="12.67578125" customWidth="1"/>
    <col min="2" max="2" width="7.4140625" customWidth="1"/>
    <col min="3" max="6" width="12.67578125" customWidth="1"/>
  </cols>
  <sheetData>
    <row r="1" spans="1:3" ht="15.75" customHeight="1" x14ac:dyDescent="0.15">
      <c r="A1" s="1" t="s">
        <v>0</v>
      </c>
    </row>
    <row r="2" spans="1:3" ht="15.75" customHeight="1" x14ac:dyDescent="0.15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">
      <c r="B23" s="4"/>
    </row>
    <row r="24" spans="2:3" ht="15.75" customHeight="1" x14ac:dyDescent="0.15"/>
    <row r="25" spans="2:3" ht="15.75" customHeight="1" x14ac:dyDescent="0.15"/>
    <row r="26" spans="2:3" ht="15.75" customHeight="1" x14ac:dyDescent="0.15"/>
    <row r="27" spans="2:3" ht="15.75" customHeight="1" x14ac:dyDescent="0.15"/>
    <row r="28" spans="2:3" ht="15.75" customHeight="1" x14ac:dyDescent="0.15"/>
    <row r="29" spans="2:3" ht="15.75" customHeight="1" x14ac:dyDescent="0.15"/>
    <row r="30" spans="2:3" ht="15.75" customHeight="1" x14ac:dyDescent="0.15"/>
    <row r="31" spans="2:3" ht="15.75" customHeight="1" x14ac:dyDescent="0.15"/>
    <row r="32" spans="2: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topLeftCell="J1" workbookViewId="0">
      <selection activeCell="N13" sqref="N13"/>
    </sheetView>
  </sheetViews>
  <sheetFormatPr defaultColWidth="12.67578125" defaultRowHeight="15" customHeight="1" x14ac:dyDescent="0.15"/>
  <cols>
    <col min="1" max="1" width="12.67578125" customWidth="1"/>
    <col min="2" max="2" width="14.15625" customWidth="1"/>
    <col min="3" max="6" width="12.67578125" customWidth="1"/>
    <col min="7" max="7" width="19.41796875" customWidth="1"/>
    <col min="10" max="10" width="13.6171875" bestFit="1" customWidth="1"/>
    <col min="11" max="11" width="8.62890625" customWidth="1"/>
    <col min="12" max="12" width="21.84375" customWidth="1"/>
    <col min="14" max="14" width="21.84375" bestFit="1" customWidth="1"/>
  </cols>
  <sheetData>
    <row r="1" spans="1:14" ht="15.75" customHeight="1" x14ac:dyDescent="0.1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8" t="s">
        <v>23</v>
      </c>
      <c r="H1" s="9" t="s">
        <v>24</v>
      </c>
      <c r="I1" s="9" t="s">
        <v>25</v>
      </c>
      <c r="J1" s="9" t="s">
        <v>26</v>
      </c>
    </row>
    <row r="2" spans="1:14" ht="15.75" customHeight="1" x14ac:dyDescent="0.15">
      <c r="A2" s="6" t="s">
        <v>27</v>
      </c>
      <c r="B2" s="6" t="s">
        <v>28</v>
      </c>
      <c r="C2" s="6" t="s">
        <v>29</v>
      </c>
      <c r="D2" s="6">
        <v>1000</v>
      </c>
      <c r="E2" s="6">
        <v>30</v>
      </c>
      <c r="F2" s="6" t="s">
        <v>30</v>
      </c>
      <c r="G2" t="str">
        <f>IF(D2&gt;=500,"Highest Price","Standard Price")</f>
        <v>Highest Price</v>
      </c>
      <c r="H2" s="6" t="str">
        <f>LEFT(A2,2)</f>
        <v>28</v>
      </c>
      <c r="I2" t="str">
        <f>RIGHT(A2,2)</f>
        <v>US</v>
      </c>
      <c r="J2" t="str">
        <f>MID(A2,4,3)</f>
        <v>JAN</v>
      </c>
    </row>
    <row r="3" spans="1:14" ht="15.75" customHeight="1" x14ac:dyDescent="0.15">
      <c r="A3" s="7" t="s">
        <v>31</v>
      </c>
      <c r="B3" s="7" t="s">
        <v>32</v>
      </c>
      <c r="C3" s="7" t="s">
        <v>33</v>
      </c>
      <c r="D3" s="7">
        <v>80</v>
      </c>
      <c r="E3" s="7">
        <v>15</v>
      </c>
      <c r="F3" s="7" t="s">
        <v>34</v>
      </c>
      <c r="G3" t="str">
        <f t="shared" ref="G3:G35" si="0">IF(D3&gt;=500,"Highest Price","Standard Price")</f>
        <v>Standard Price</v>
      </c>
      <c r="H3" s="6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4" ht="15.75" customHeight="1" x14ac:dyDescent="0.15">
      <c r="A4" s="6" t="s">
        <v>35</v>
      </c>
      <c r="B4" s="6" t="s">
        <v>36</v>
      </c>
      <c r="C4" s="6" t="s">
        <v>37</v>
      </c>
      <c r="D4" s="6">
        <v>130</v>
      </c>
      <c r="E4" s="6">
        <v>40</v>
      </c>
      <c r="F4" s="6" t="s">
        <v>38</v>
      </c>
      <c r="G4" t="str">
        <f t="shared" si="0"/>
        <v>Standard Price</v>
      </c>
      <c r="H4" s="6" t="str">
        <f t="shared" si="1"/>
        <v>03</v>
      </c>
      <c r="I4" t="str">
        <f t="shared" si="2"/>
        <v>US</v>
      </c>
      <c r="J4" t="str">
        <f t="shared" si="3"/>
        <v>MAR</v>
      </c>
    </row>
    <row r="5" spans="1:14" ht="15.75" customHeight="1" x14ac:dyDescent="0.15">
      <c r="A5" s="7" t="s">
        <v>39</v>
      </c>
      <c r="B5" s="7" t="s">
        <v>40</v>
      </c>
      <c r="C5" s="7" t="s">
        <v>41</v>
      </c>
      <c r="D5" s="7">
        <v>900</v>
      </c>
      <c r="E5" s="7">
        <v>25</v>
      </c>
      <c r="F5" s="7" t="s">
        <v>30</v>
      </c>
      <c r="G5" t="str">
        <f t="shared" si="0"/>
        <v>Highest Price</v>
      </c>
      <c r="H5" s="6" t="str">
        <f t="shared" si="1"/>
        <v>11</v>
      </c>
      <c r="I5" t="str">
        <f t="shared" si="2"/>
        <v>US</v>
      </c>
      <c r="J5" t="str">
        <f t="shared" si="3"/>
        <v>APR</v>
      </c>
      <c r="L5" t="s">
        <v>42</v>
      </c>
      <c r="M5" s="11" t="s">
        <v>43</v>
      </c>
      <c r="N5" s="14">
        <f>SUM(D2:D35)</f>
        <v>10100</v>
      </c>
    </row>
    <row r="6" spans="1:14" ht="15.75" customHeight="1" x14ac:dyDescent="0.15">
      <c r="A6" s="6" t="s">
        <v>44</v>
      </c>
      <c r="B6" s="6" t="s">
        <v>45</v>
      </c>
      <c r="C6" s="6" t="s">
        <v>46</v>
      </c>
      <c r="D6" s="6">
        <v>70</v>
      </c>
      <c r="E6" s="6">
        <v>20</v>
      </c>
      <c r="F6" s="6" t="s">
        <v>47</v>
      </c>
      <c r="G6" t="str">
        <f t="shared" si="0"/>
        <v>Standard Price</v>
      </c>
      <c r="H6" s="6" t="str">
        <f t="shared" si="1"/>
        <v>22</v>
      </c>
      <c r="I6" t="str">
        <f t="shared" si="2"/>
        <v>US</v>
      </c>
      <c r="J6" t="str">
        <f t="shared" si="3"/>
        <v>MAY</v>
      </c>
      <c r="L6" s="10" t="s">
        <v>128</v>
      </c>
      <c r="M6" s="11" t="s">
        <v>48</v>
      </c>
      <c r="N6" s="14">
        <f>COUNT(D2:D35)</f>
        <v>34</v>
      </c>
    </row>
    <row r="7" spans="1:14" ht="15.75" customHeight="1" x14ac:dyDescent="0.15">
      <c r="A7" s="7" t="s">
        <v>49</v>
      </c>
      <c r="B7" s="7" t="s">
        <v>50</v>
      </c>
      <c r="C7" s="7" t="s">
        <v>51</v>
      </c>
      <c r="D7" s="7">
        <v>200</v>
      </c>
      <c r="E7" s="7">
        <v>45</v>
      </c>
      <c r="F7" s="7" t="s">
        <v>30</v>
      </c>
      <c r="G7" t="str">
        <f t="shared" si="0"/>
        <v>Standard Price</v>
      </c>
      <c r="H7" s="6" t="str">
        <f t="shared" si="1"/>
        <v>07</v>
      </c>
      <c r="I7" t="str">
        <f t="shared" si="2"/>
        <v>UK</v>
      </c>
      <c r="J7" t="str">
        <f t="shared" si="3"/>
        <v>JUN</v>
      </c>
      <c r="L7" t="s">
        <v>125</v>
      </c>
      <c r="M7" s="11" t="s">
        <v>52</v>
      </c>
      <c r="N7" s="14">
        <f>AVERAGE(D2:D35)</f>
        <v>297.05882352941177</v>
      </c>
    </row>
    <row r="8" spans="1:14" ht="15.75" customHeight="1" x14ac:dyDescent="0.15">
      <c r="A8" s="6" t="s">
        <v>53</v>
      </c>
      <c r="B8" s="6" t="s">
        <v>54</v>
      </c>
      <c r="C8" s="6" t="s">
        <v>55</v>
      </c>
      <c r="D8" s="6">
        <v>30</v>
      </c>
      <c r="E8" s="6">
        <v>5</v>
      </c>
      <c r="F8" s="6" t="s">
        <v>34</v>
      </c>
      <c r="G8" t="str">
        <f t="shared" si="0"/>
        <v>Standard Price</v>
      </c>
      <c r="H8" s="6" t="str">
        <f t="shared" si="1"/>
        <v>19</v>
      </c>
      <c r="I8" t="str">
        <f t="shared" si="2"/>
        <v>UK</v>
      </c>
      <c r="J8" t="str">
        <f t="shared" si="3"/>
        <v>JUL</v>
      </c>
      <c r="L8" t="s">
        <v>126</v>
      </c>
      <c r="M8" s="12" t="s">
        <v>56</v>
      </c>
      <c r="N8" s="14">
        <f>MIN(D2:D35)</f>
        <v>30</v>
      </c>
    </row>
    <row r="9" spans="1:14" ht="15.75" customHeight="1" x14ac:dyDescent="0.15">
      <c r="A9" s="7" t="s">
        <v>57</v>
      </c>
      <c r="B9" s="7" t="s">
        <v>58</v>
      </c>
      <c r="C9" s="7" t="s">
        <v>59</v>
      </c>
      <c r="D9" s="7">
        <v>90</v>
      </c>
      <c r="E9" s="7">
        <v>35</v>
      </c>
      <c r="F9" s="7" t="s">
        <v>38</v>
      </c>
      <c r="G9" t="str">
        <f t="shared" si="0"/>
        <v>Standard Price</v>
      </c>
      <c r="H9" s="6" t="str">
        <f t="shared" si="1"/>
        <v>23</v>
      </c>
      <c r="I9" t="str">
        <f t="shared" si="2"/>
        <v>UK</v>
      </c>
      <c r="J9" t="str">
        <f t="shared" si="3"/>
        <v>AUG</v>
      </c>
      <c r="L9" t="s">
        <v>127</v>
      </c>
      <c r="M9" s="12" t="s">
        <v>60</v>
      </c>
      <c r="N9" s="14">
        <f>MAX(D2:D35)</f>
        <v>1000</v>
      </c>
    </row>
    <row r="10" spans="1:14" ht="15.75" customHeight="1" x14ac:dyDescent="0.15">
      <c r="A10" s="6" t="s">
        <v>61</v>
      </c>
      <c r="B10" s="6" t="s">
        <v>62</v>
      </c>
      <c r="C10" s="6" t="s">
        <v>63</v>
      </c>
      <c r="D10" s="6">
        <v>500</v>
      </c>
      <c r="E10" s="6">
        <v>50</v>
      </c>
      <c r="F10" s="6" t="s">
        <v>30</v>
      </c>
      <c r="G10" t="str">
        <f t="shared" si="0"/>
        <v>Highest Price</v>
      </c>
      <c r="H10" s="6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4" ht="15.75" customHeight="1" x14ac:dyDescent="0.15">
      <c r="A11" s="7" t="s">
        <v>64</v>
      </c>
      <c r="B11" s="7" t="s">
        <v>65</v>
      </c>
      <c r="C11" s="7" t="s">
        <v>66</v>
      </c>
      <c r="D11" s="7">
        <v>130</v>
      </c>
      <c r="E11" s="7">
        <v>10</v>
      </c>
      <c r="F11" s="7" t="s">
        <v>47</v>
      </c>
      <c r="G11" t="str">
        <f t="shared" si="0"/>
        <v>Standard Price</v>
      </c>
      <c r="H11" s="6" t="str">
        <f t="shared" si="1"/>
        <v>14</v>
      </c>
      <c r="I11" t="str">
        <f t="shared" si="2"/>
        <v>UK</v>
      </c>
      <c r="J11" t="str">
        <f t="shared" si="3"/>
        <v>OCT</v>
      </c>
      <c r="L11" t="s">
        <v>67</v>
      </c>
      <c r="M11" s="13" t="s">
        <v>68</v>
      </c>
      <c r="N11" s="14">
        <f>SUMIF(F2:F35,"Electronics",D2:D35)</f>
        <v>8050</v>
      </c>
    </row>
    <row r="12" spans="1:14" ht="15.75" customHeight="1" x14ac:dyDescent="0.15">
      <c r="A12" s="6" t="s">
        <v>69</v>
      </c>
      <c r="B12" s="6" t="s">
        <v>28</v>
      </c>
      <c r="C12" s="6" t="s">
        <v>70</v>
      </c>
      <c r="D12" s="6">
        <v>950</v>
      </c>
      <c r="E12" s="6">
        <v>25</v>
      </c>
      <c r="F12" s="6" t="s">
        <v>30</v>
      </c>
      <c r="G12" t="str">
        <f t="shared" si="0"/>
        <v>Highest Price</v>
      </c>
      <c r="H12" s="6" t="str">
        <f t="shared" si="1"/>
        <v>17</v>
      </c>
      <c r="I12" t="str">
        <f t="shared" si="2"/>
        <v>IN</v>
      </c>
      <c r="J12" t="str">
        <f t="shared" si="3"/>
        <v>JUN</v>
      </c>
      <c r="L12" s="10" t="s">
        <v>71</v>
      </c>
      <c r="M12" s="13" t="s">
        <v>72</v>
      </c>
      <c r="N12" s="14">
        <f>COUNTIF(D2:D35,"&lt;100")</f>
        <v>11</v>
      </c>
    </row>
    <row r="13" spans="1:14" ht="15.75" customHeight="1" x14ac:dyDescent="0.15">
      <c r="A13" s="7" t="s">
        <v>73</v>
      </c>
      <c r="B13" s="7" t="s">
        <v>32</v>
      </c>
      <c r="C13" s="7" t="s">
        <v>55</v>
      </c>
      <c r="D13" s="7">
        <v>90</v>
      </c>
      <c r="E13" s="7">
        <v>40</v>
      </c>
      <c r="F13" s="7" t="s">
        <v>34</v>
      </c>
      <c r="G13" t="str">
        <f t="shared" si="0"/>
        <v>Standard Price</v>
      </c>
      <c r="H13" s="6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4" ht="15.75" customHeight="1" x14ac:dyDescent="0.15">
      <c r="A14" s="6" t="s">
        <v>74</v>
      </c>
      <c r="B14" s="6" t="s">
        <v>36</v>
      </c>
      <c r="C14" s="6" t="s">
        <v>75</v>
      </c>
      <c r="D14" s="6">
        <v>120</v>
      </c>
      <c r="E14" s="6">
        <v>35</v>
      </c>
      <c r="F14" s="6" t="s">
        <v>38</v>
      </c>
      <c r="G14" t="str">
        <f t="shared" si="0"/>
        <v>Standard Price</v>
      </c>
      <c r="H14" s="6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4" ht="15.75" customHeight="1" x14ac:dyDescent="0.15">
      <c r="A15" s="7" t="s">
        <v>76</v>
      </c>
      <c r="B15" s="7" t="s">
        <v>77</v>
      </c>
      <c r="C15" s="7" t="s">
        <v>78</v>
      </c>
      <c r="D15" s="7">
        <v>150</v>
      </c>
      <c r="E15" s="7">
        <v>15</v>
      </c>
      <c r="F15" s="7" t="s">
        <v>30</v>
      </c>
      <c r="G15" t="str">
        <f t="shared" si="0"/>
        <v>Standard Price</v>
      </c>
      <c r="H15" s="6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4" ht="15.75" customHeight="1" x14ac:dyDescent="0.15">
      <c r="A16" s="6" t="s">
        <v>79</v>
      </c>
      <c r="B16" s="6" t="s">
        <v>50</v>
      </c>
      <c r="C16" s="6" t="s">
        <v>80</v>
      </c>
      <c r="D16" s="6">
        <v>250</v>
      </c>
      <c r="E16" s="6">
        <v>20</v>
      </c>
      <c r="F16" s="6" t="s">
        <v>30</v>
      </c>
      <c r="G16" t="str">
        <f t="shared" si="0"/>
        <v>Standard Price</v>
      </c>
      <c r="H16" s="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1" ht="15.75" customHeight="1" x14ac:dyDescent="0.15">
      <c r="A17" s="7" t="s">
        <v>81</v>
      </c>
      <c r="B17" s="7" t="s">
        <v>82</v>
      </c>
      <c r="C17" s="7" t="s">
        <v>83</v>
      </c>
      <c r="D17" s="7">
        <v>50</v>
      </c>
      <c r="E17" s="7">
        <v>35</v>
      </c>
      <c r="F17" s="7" t="s">
        <v>84</v>
      </c>
      <c r="G17" t="str">
        <f t="shared" si="0"/>
        <v>Standard Price</v>
      </c>
      <c r="H17" s="6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1" ht="15.75" customHeight="1" x14ac:dyDescent="0.15">
      <c r="A18" s="6" t="s">
        <v>85</v>
      </c>
      <c r="B18" s="6" t="s">
        <v>77</v>
      </c>
      <c r="C18" s="6" t="s">
        <v>86</v>
      </c>
      <c r="D18" s="6">
        <v>160</v>
      </c>
      <c r="E18" s="6">
        <v>15</v>
      </c>
      <c r="F18" s="6" t="s">
        <v>30</v>
      </c>
      <c r="G18" t="str">
        <f t="shared" si="0"/>
        <v>Standard Price</v>
      </c>
      <c r="H18" s="6" t="str">
        <f t="shared" si="1"/>
        <v>20</v>
      </c>
      <c r="I18" t="str">
        <f t="shared" si="2"/>
        <v>CN</v>
      </c>
      <c r="J18" t="str">
        <f t="shared" si="3"/>
        <v>AUG</v>
      </c>
      <c r="K18" t="s">
        <v>87</v>
      </c>
    </row>
    <row r="19" spans="1:11" ht="15.75" customHeight="1" x14ac:dyDescent="0.15">
      <c r="A19" s="7" t="s">
        <v>88</v>
      </c>
      <c r="B19" s="7" t="s">
        <v>28</v>
      </c>
      <c r="C19" s="7" t="s">
        <v>89</v>
      </c>
      <c r="D19" s="7">
        <v>980</v>
      </c>
      <c r="E19" s="7">
        <v>10</v>
      </c>
      <c r="F19" s="7" t="s">
        <v>30</v>
      </c>
      <c r="G19" t="str">
        <f t="shared" si="0"/>
        <v>Highest Price</v>
      </c>
      <c r="H19" s="6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1" ht="15.75" customHeight="1" x14ac:dyDescent="0.15">
      <c r="A20" s="6" t="s">
        <v>90</v>
      </c>
      <c r="B20" s="6" t="s">
        <v>91</v>
      </c>
      <c r="C20" s="6" t="s">
        <v>92</v>
      </c>
      <c r="D20" s="6">
        <v>150</v>
      </c>
      <c r="E20" s="6">
        <v>15</v>
      </c>
      <c r="F20" s="6" t="s">
        <v>34</v>
      </c>
      <c r="G20" t="str">
        <f t="shared" si="0"/>
        <v>Standard Price</v>
      </c>
      <c r="H20" s="6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1" ht="15.75" customHeight="1" x14ac:dyDescent="0.15">
      <c r="A21" s="7" t="s">
        <v>93</v>
      </c>
      <c r="B21" s="7" t="s">
        <v>94</v>
      </c>
      <c r="C21" s="7" t="s">
        <v>95</v>
      </c>
      <c r="D21" s="7">
        <v>200</v>
      </c>
      <c r="E21" s="7">
        <v>10</v>
      </c>
      <c r="F21" s="7" t="s">
        <v>47</v>
      </c>
      <c r="G21" t="str">
        <f t="shared" si="0"/>
        <v>Standard Price</v>
      </c>
      <c r="H21" s="6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1" ht="15.75" customHeight="1" x14ac:dyDescent="0.15">
      <c r="A22" s="6" t="s">
        <v>96</v>
      </c>
      <c r="B22" s="6" t="s">
        <v>97</v>
      </c>
      <c r="C22" s="6" t="s">
        <v>98</v>
      </c>
      <c r="D22" s="6">
        <v>700</v>
      </c>
      <c r="E22" s="6">
        <v>50</v>
      </c>
      <c r="F22" s="6" t="s">
        <v>30</v>
      </c>
      <c r="G22" t="str">
        <f t="shared" si="0"/>
        <v>Highest Price</v>
      </c>
      <c r="H22" s="6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1" ht="15.75" customHeight="1" x14ac:dyDescent="0.15">
      <c r="A23" s="7" t="s">
        <v>99</v>
      </c>
      <c r="B23" s="7" t="s">
        <v>100</v>
      </c>
      <c r="C23" s="7" t="s">
        <v>101</v>
      </c>
      <c r="D23" s="7">
        <v>80</v>
      </c>
      <c r="E23" s="7">
        <v>20</v>
      </c>
      <c r="F23" s="7" t="s">
        <v>38</v>
      </c>
      <c r="G23" t="str">
        <f t="shared" si="0"/>
        <v>Standard Price</v>
      </c>
      <c r="H23" s="6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1" ht="15.75" customHeight="1" x14ac:dyDescent="0.15">
      <c r="A24" s="6" t="s">
        <v>102</v>
      </c>
      <c r="B24" s="6" t="s">
        <v>103</v>
      </c>
      <c r="C24" s="6" t="s">
        <v>104</v>
      </c>
      <c r="D24" s="6">
        <v>150</v>
      </c>
      <c r="E24" s="6">
        <v>30</v>
      </c>
      <c r="F24" s="6" t="s">
        <v>30</v>
      </c>
      <c r="G24" t="str">
        <f t="shared" si="0"/>
        <v>Standard Price</v>
      </c>
      <c r="H24" s="6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1" ht="15.75" customHeight="1" x14ac:dyDescent="0.15">
      <c r="A25" s="7" t="s">
        <v>81</v>
      </c>
      <c r="B25" s="7" t="s">
        <v>82</v>
      </c>
      <c r="C25" s="7" t="s">
        <v>83</v>
      </c>
      <c r="D25" s="7">
        <v>50</v>
      </c>
      <c r="E25" s="7">
        <v>35</v>
      </c>
      <c r="F25" s="7" t="s">
        <v>84</v>
      </c>
      <c r="G25" t="str">
        <f t="shared" si="0"/>
        <v>Standard Price</v>
      </c>
      <c r="H25" s="6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1" ht="15.75" customHeight="1" x14ac:dyDescent="0.15">
      <c r="A26" s="6" t="s">
        <v>105</v>
      </c>
      <c r="B26" s="6" t="s">
        <v>40</v>
      </c>
      <c r="C26" s="6" t="s">
        <v>106</v>
      </c>
      <c r="D26" s="6">
        <v>800</v>
      </c>
      <c r="E26" s="6">
        <v>45</v>
      </c>
      <c r="F26" s="6" t="s">
        <v>30</v>
      </c>
      <c r="G26" t="str">
        <f t="shared" si="0"/>
        <v>Highest Price</v>
      </c>
      <c r="H26" s="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1" ht="15.75" customHeight="1" x14ac:dyDescent="0.15">
      <c r="A27" s="7" t="s">
        <v>107</v>
      </c>
      <c r="B27" s="7" t="s">
        <v>91</v>
      </c>
      <c r="C27" s="7" t="s">
        <v>108</v>
      </c>
      <c r="D27" s="7">
        <v>130</v>
      </c>
      <c r="E27" s="7">
        <v>25</v>
      </c>
      <c r="F27" s="7" t="s">
        <v>34</v>
      </c>
      <c r="G27" t="str">
        <f t="shared" si="0"/>
        <v>Standard Price</v>
      </c>
      <c r="H27" s="6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1" ht="15.75" customHeight="1" x14ac:dyDescent="0.15">
      <c r="A28" s="6" t="s">
        <v>109</v>
      </c>
      <c r="B28" s="6" t="s">
        <v>58</v>
      </c>
      <c r="C28" s="6" t="s">
        <v>110</v>
      </c>
      <c r="D28" s="6">
        <v>400</v>
      </c>
      <c r="E28" s="6">
        <v>40</v>
      </c>
      <c r="F28" s="6" t="s">
        <v>38</v>
      </c>
      <c r="G28" t="str">
        <f t="shared" si="0"/>
        <v>Standard Price</v>
      </c>
      <c r="H28" s="6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1" ht="15.75" customHeight="1" x14ac:dyDescent="0.15">
      <c r="A29" s="7" t="s">
        <v>79</v>
      </c>
      <c r="B29" s="7" t="s">
        <v>50</v>
      </c>
      <c r="C29" s="7" t="s">
        <v>80</v>
      </c>
      <c r="D29" s="7">
        <v>230</v>
      </c>
      <c r="E29" s="7">
        <v>20</v>
      </c>
      <c r="F29" s="7" t="s">
        <v>30</v>
      </c>
      <c r="G29" t="str">
        <f t="shared" si="0"/>
        <v>Standard Price</v>
      </c>
      <c r="H29" s="6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1" ht="15.75" customHeight="1" x14ac:dyDescent="0.15">
      <c r="A30" s="6" t="s">
        <v>111</v>
      </c>
      <c r="B30" s="6" t="s">
        <v>112</v>
      </c>
      <c r="C30" s="6" t="s">
        <v>113</v>
      </c>
      <c r="D30" s="6">
        <v>60</v>
      </c>
      <c r="E30" s="6">
        <v>30</v>
      </c>
      <c r="F30" s="6" t="s">
        <v>34</v>
      </c>
      <c r="G30" t="str">
        <f t="shared" si="0"/>
        <v>Standard Price</v>
      </c>
      <c r="H30" s="6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1" ht="15.75" customHeight="1" x14ac:dyDescent="0.15">
      <c r="A31" s="7" t="s">
        <v>114</v>
      </c>
      <c r="B31" s="7" t="s">
        <v>115</v>
      </c>
      <c r="C31" s="7" t="s">
        <v>116</v>
      </c>
      <c r="D31" s="7">
        <v>40</v>
      </c>
      <c r="E31" s="7">
        <v>10</v>
      </c>
      <c r="F31" s="7" t="s">
        <v>38</v>
      </c>
      <c r="G31" t="str">
        <f t="shared" si="0"/>
        <v>Standard Price</v>
      </c>
      <c r="H31" s="6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1" ht="15.75" customHeight="1" x14ac:dyDescent="0.15">
      <c r="A32" s="6" t="s">
        <v>117</v>
      </c>
      <c r="B32" s="6" t="s">
        <v>103</v>
      </c>
      <c r="C32" s="6" t="s">
        <v>118</v>
      </c>
      <c r="D32" s="6">
        <v>130</v>
      </c>
      <c r="E32" s="6">
        <v>5</v>
      </c>
      <c r="F32" s="6" t="s">
        <v>30</v>
      </c>
      <c r="G32" t="str">
        <f t="shared" si="0"/>
        <v>Standard Price</v>
      </c>
      <c r="H32" s="6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15">
      <c r="A33" s="7" t="s">
        <v>119</v>
      </c>
      <c r="B33" s="7" t="s">
        <v>120</v>
      </c>
      <c r="C33" s="7" t="s">
        <v>121</v>
      </c>
      <c r="D33" s="7">
        <v>50</v>
      </c>
      <c r="E33" s="7">
        <v>50</v>
      </c>
      <c r="F33" s="7" t="s">
        <v>34</v>
      </c>
      <c r="G33" t="str">
        <f t="shared" si="0"/>
        <v>Standard Price</v>
      </c>
      <c r="H33" s="6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15">
      <c r="A34" s="6" t="s">
        <v>69</v>
      </c>
      <c r="B34" s="6" t="s">
        <v>28</v>
      </c>
      <c r="C34" s="6" t="s">
        <v>70</v>
      </c>
      <c r="D34" s="6">
        <v>950</v>
      </c>
      <c r="E34" s="6">
        <v>25</v>
      </c>
      <c r="F34" s="6" t="s">
        <v>30</v>
      </c>
      <c r="G34" t="str">
        <f t="shared" si="0"/>
        <v>Highest Price</v>
      </c>
      <c r="H34" s="6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15">
      <c r="A35" s="7" t="s">
        <v>122</v>
      </c>
      <c r="B35" s="7" t="s">
        <v>123</v>
      </c>
      <c r="C35" s="7" t="s">
        <v>124</v>
      </c>
      <c r="D35" s="7">
        <v>100</v>
      </c>
      <c r="E35" s="7">
        <v>20</v>
      </c>
      <c r="F35" s="7" t="s">
        <v>84</v>
      </c>
      <c r="G35" t="str">
        <f t="shared" si="0"/>
        <v>Standard Price</v>
      </c>
      <c r="H35" s="6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15"/>
    <row r="37" spans="1:10" ht="15.75" customHeight="1" x14ac:dyDescent="0.15"/>
    <row r="38" spans="1:10" ht="15.75" customHeight="1" x14ac:dyDescent="0.15"/>
    <row r="39" spans="1:10" ht="15.75" customHeight="1" x14ac:dyDescent="0.15"/>
    <row r="40" spans="1:10" ht="15.75" customHeight="1" x14ac:dyDescent="0.15"/>
    <row r="41" spans="1:10" ht="15.75" customHeight="1" x14ac:dyDescent="0.15"/>
    <row r="42" spans="1:10" ht="15.75" customHeight="1" x14ac:dyDescent="0.15"/>
    <row r="43" spans="1:10" ht="15.75" customHeight="1" x14ac:dyDescent="0.15"/>
    <row r="44" spans="1:10" ht="15.75" customHeight="1" x14ac:dyDescent="0.15"/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pavith rap</cp:lastModifiedBy>
  <cp:revision/>
  <dcterms:created xsi:type="dcterms:W3CDTF">2025-11-29T12:29:34Z</dcterms:created>
  <dcterms:modified xsi:type="dcterms:W3CDTF">2025-11-29T17:42:06Z</dcterms:modified>
  <cp:category/>
  <cp:contentStatus/>
</cp:coreProperties>
</file>